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fileSharing readOnlyRecommended="1"/>
  <workbookPr codeName="ThisWorkbook" defaultThemeVersion="166925"/>
  <mc:AlternateContent xmlns:mc="http://schemas.openxmlformats.org/markup-compatibility/2006">
    <mc:Choice Requires="x15">
      <x15ac:absPath xmlns:x15ac="http://schemas.microsoft.com/office/spreadsheetml/2010/11/ac" url="https://hannacorp.sharepoint.com/teams/SiteMerchandising/Shared Documents/PROMOTIONS/"/>
    </mc:Choice>
  </mc:AlternateContent>
  <xr:revisionPtr revIDLastSave="0" documentId="8_{8E3CFC90-2AB2-43C4-A6CA-AD86557487FD}" xr6:coauthVersionLast="47" xr6:coauthVersionMax="47" xr10:uidLastSave="{00000000-0000-0000-0000-000000000000}"/>
  <bookViews>
    <workbookView xWindow="28635" yWindow="-165" windowWidth="29130" windowHeight="15810" xr2:uid="{00000000-000D-0000-FFFF-FFFF00000000}"/>
  </bookViews>
  <sheets>
    <sheet name="COUPON TRACKER" sheetId="1" r:id="rId1"/>
    <sheet name="Cheat Sheet!" sheetId="3" r:id="rId2"/>
    <sheet name="DISCLAIMERS" sheetId="4" r:id="rId3"/>
    <sheet name="CONTINGENCY CODES" sheetId="11" r:id="rId4"/>
    <sheet name="Ongoing Promotions " sheetId="6" r:id="rId5"/>
    <sheet name="AVAILABLE CODES" sheetId="12" r:id="rId6"/>
    <sheet name="Bundle Exclusions " sheetId="10" r:id="rId7"/>
    <sheet name="DON'T DELETE" sheetId="2" r:id="rId8"/>
    <sheet name="Site Promo Code Past Offers" sheetId="8" state="hidden" r:id="rId9"/>
    <sheet name="holly working" sheetId="9" state="hidden" r:id="rId10"/>
    <sheet name="CONT. CODE USAGE" sheetId="13" r:id="rId11"/>
    <sheet name="Campaign Naming Conventions" sheetId="7" r:id="rId12"/>
    <sheet name="Sheet1" sheetId="5" r:id="rId13"/>
  </sheets>
  <definedNames>
    <definedName name="_xlnm._FilterDatabase" localSheetId="0" hidden="1">'COUPON TRACKER'!$A$1:$AF$403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22" i="1" l="1"/>
  <c r="J408" i="1"/>
  <c r="J409" i="1"/>
  <c r="J407" i="1"/>
  <c r="J406" i="1"/>
  <c r="L403" i="1"/>
  <c r="J403" i="1"/>
  <c r="L402" i="1"/>
  <c r="J402" i="1"/>
  <c r="L401" i="1"/>
  <c r="J401" i="1"/>
  <c r="L400" i="1"/>
  <c r="J400" i="1"/>
  <c r="L399" i="1"/>
  <c r="J399" i="1"/>
  <c r="L398" i="1"/>
  <c r="J398" i="1"/>
  <c r="L397" i="1"/>
  <c r="J397" i="1"/>
  <c r="L396" i="1"/>
  <c r="J396" i="1"/>
  <c r="L395" i="1"/>
  <c r="J395" i="1"/>
  <c r="L394" i="1"/>
  <c r="J394" i="1"/>
  <c r="L393" i="1"/>
  <c r="J393" i="1"/>
  <c r="L392" i="1"/>
  <c r="J392" i="1"/>
  <c r="L391" i="1"/>
  <c r="J391" i="1"/>
  <c r="L390" i="1"/>
  <c r="J390" i="1"/>
  <c r="L389" i="1"/>
  <c r="J389" i="1"/>
  <c r="L388" i="1"/>
  <c r="J388" i="1"/>
  <c r="L387" i="1"/>
  <c r="J387" i="1"/>
  <c r="L386" i="1"/>
  <c r="J386" i="1"/>
  <c r="L385" i="1"/>
  <c r="J385" i="1"/>
  <c r="L384" i="1"/>
  <c r="J384" i="1"/>
  <c r="L383" i="1"/>
  <c r="J383" i="1"/>
  <c r="L382" i="1"/>
  <c r="J382" i="1"/>
  <c r="L381" i="1"/>
  <c r="J381" i="1"/>
  <c r="L380" i="1"/>
  <c r="J380" i="1"/>
  <c r="L379" i="1"/>
  <c r="J379" i="1"/>
  <c r="I23" i="6"/>
  <c r="H23" i="6"/>
  <c r="H22" i="6"/>
  <c r="H21" i="6"/>
  <c r="K18" i="6"/>
  <c r="J18" i="6"/>
  <c r="J23" i="6" s="1"/>
  <c r="H19" i="6"/>
  <c r="I16" i="6"/>
  <c r="I17" i="6"/>
  <c r="K17" i="6" s="1"/>
  <c r="I14" i="6"/>
  <c r="I15" i="6"/>
  <c r="K15" i="6" s="1"/>
  <c r="J367" i="1"/>
  <c r="E364" i="1"/>
  <c r="J363" i="1"/>
  <c r="J362" i="1"/>
  <c r="I357" i="1"/>
  <c r="I356" i="1"/>
  <c r="I355" i="1"/>
  <c r="I354" i="1"/>
  <c r="J358" i="1"/>
  <c r="L335" i="1"/>
  <c r="J335" i="1"/>
  <c r="C328" i="1"/>
  <c r="J317" i="1"/>
  <c r="L305" i="1"/>
  <c r="L304" i="1"/>
  <c r="J304" i="1"/>
  <c r="L303" i="1"/>
  <c r="J303" i="1"/>
  <c r="L302" i="1"/>
  <c r="J302" i="1"/>
  <c r="L301" i="1"/>
  <c r="J301" i="1"/>
  <c r="L300" i="1"/>
  <c r="J300" i="1"/>
  <c r="L299" i="1"/>
  <c r="J299" i="1"/>
  <c r="L298" i="1"/>
  <c r="J298" i="1"/>
  <c r="L297" i="1"/>
  <c r="J297" i="1"/>
  <c r="L296" i="1"/>
  <c r="J296" i="1"/>
  <c r="L295" i="1"/>
  <c r="J295" i="1"/>
  <c r="L294" i="1"/>
  <c r="J294" i="1"/>
  <c r="L293" i="1"/>
  <c r="J293" i="1"/>
  <c r="L292" i="1"/>
  <c r="J292" i="1"/>
  <c r="L291" i="1"/>
  <c r="J291" i="1"/>
  <c r="L290" i="1"/>
  <c r="J290" i="1"/>
  <c r="L289" i="1"/>
  <c r="J289" i="1"/>
  <c r="L288" i="1"/>
  <c r="J288" i="1"/>
  <c r="L287" i="1"/>
  <c r="J287" i="1"/>
  <c r="L286" i="1"/>
  <c r="J286" i="1"/>
  <c r="L285" i="1"/>
  <c r="J285" i="1"/>
  <c r="L284" i="1"/>
  <c r="J284" i="1"/>
  <c r="L283" i="1"/>
  <c r="J283" i="1"/>
  <c r="L282" i="1"/>
  <c r="J282" i="1"/>
  <c r="L281" i="1"/>
  <c r="J281" i="1"/>
  <c r="L280" i="1"/>
  <c r="J280" i="1"/>
  <c r="L279" i="1"/>
  <c r="J279" i="1"/>
  <c r="L278" i="1"/>
  <c r="J278" i="1"/>
  <c r="L277" i="1"/>
  <c r="J277" i="1"/>
  <c r="L276" i="1"/>
  <c r="J276" i="1"/>
  <c r="L275" i="1"/>
  <c r="J275" i="1"/>
  <c r="L274" i="1"/>
  <c r="J274" i="1"/>
  <c r="L273" i="1"/>
  <c r="J273" i="1"/>
  <c r="L272" i="1"/>
  <c r="J272" i="1"/>
  <c r="L271" i="1"/>
  <c r="J271" i="1"/>
  <c r="L270" i="1"/>
  <c r="J270" i="1"/>
  <c r="L269" i="1"/>
  <c r="J269" i="1"/>
  <c r="L268" i="1"/>
  <c r="J268" i="1"/>
  <c r="L267" i="1"/>
  <c r="J267" i="1"/>
  <c r="L266" i="1"/>
  <c r="J266" i="1"/>
  <c r="L265" i="1"/>
  <c r="J265" i="1"/>
  <c r="L264" i="1"/>
  <c r="J264" i="1"/>
  <c r="L263" i="1"/>
  <c r="J263" i="1"/>
  <c r="L262" i="1"/>
  <c r="J262" i="1"/>
  <c r="L261" i="1"/>
  <c r="J261" i="1"/>
  <c r="L260" i="1"/>
  <c r="J260" i="1"/>
  <c r="L259" i="1"/>
  <c r="J259" i="1"/>
  <c r="L258" i="1"/>
  <c r="J258" i="1"/>
  <c r="L257" i="1"/>
  <c r="J257" i="1"/>
  <c r="L256" i="1"/>
  <c r="J256" i="1"/>
  <c r="J14" i="6" l="1"/>
  <c r="I21" i="6"/>
  <c r="J16" i="6"/>
  <c r="I22" i="6"/>
  <c r="I37" i="6" s="1"/>
  <c r="K16" i="6"/>
  <c r="J41" i="6"/>
  <c r="J27" i="6"/>
  <c r="H26" i="6"/>
  <c r="K21" i="6"/>
  <c r="K22" i="6"/>
  <c r="H27" i="6"/>
  <c r="K23" i="6"/>
  <c r="I41" i="6"/>
  <c r="K41" i="6" s="1"/>
  <c r="I27" i="6"/>
  <c r="L41" i="6"/>
  <c r="K14" i="6"/>
  <c r="J17" i="6"/>
  <c r="J15" i="6"/>
  <c r="I19" i="6"/>
  <c r="K19" i="6" s="1"/>
  <c r="L249" i="1"/>
  <c r="J249" i="1"/>
  <c r="J245" i="1"/>
  <c r="J237" i="1"/>
  <c r="I231" i="1"/>
  <c r="K27" i="6" l="1"/>
  <c r="H28" i="6"/>
  <c r="L27" i="6"/>
  <c r="J22" i="6"/>
  <c r="J37" i="6" s="1"/>
  <c r="I36" i="6"/>
  <c r="I26" i="6"/>
  <c r="I24" i="6"/>
  <c r="J21" i="6"/>
  <c r="J19" i="6"/>
  <c r="I228" i="1"/>
  <c r="I229" i="1"/>
  <c r="J36" i="6" l="1"/>
  <c r="J40" i="6" s="1"/>
  <c r="J26" i="6"/>
  <c r="J24" i="6"/>
  <c r="I28" i="6"/>
  <c r="K28" i="6" s="1"/>
  <c r="K26" i="6"/>
  <c r="I40" i="6"/>
  <c r="I38" i="6"/>
  <c r="I227" i="1"/>
  <c r="I42" i="6" l="1"/>
  <c r="K42" i="6" s="1"/>
  <c r="K40" i="6"/>
  <c r="J28" i="6"/>
  <c r="L28" i="6" s="1"/>
  <c r="L26" i="6"/>
  <c r="J42" i="6"/>
  <c r="L42" i="6" s="1"/>
  <c r="L40" i="6"/>
  <c r="J225" i="1"/>
  <c r="C49" i="10"/>
  <c r="I224" i="1"/>
  <c r="I223" i="1"/>
  <c r="J221" i="1"/>
  <c r="J218" i="1"/>
  <c r="J216" i="1"/>
  <c r="L218" i="1"/>
  <c r="J215" i="1"/>
  <c r="I213" i="1"/>
  <c r="I214" i="1"/>
  <c r="I212" i="1"/>
  <c r="L208" i="1"/>
  <c r="J197" i="1"/>
  <c r="J196" i="1"/>
  <c r="L197" i="1"/>
  <c r="L196" i="1"/>
  <c r="L195" i="1"/>
  <c r="L188" i="1"/>
  <c r="L186" i="1"/>
  <c r="L180" i="1"/>
  <c r="L178" i="1"/>
  <c r="I208" i="1"/>
  <c r="I205" i="1"/>
  <c r="I206" i="1"/>
  <c r="I207" i="1"/>
  <c r="C43" i="10"/>
  <c r="C44" i="10"/>
  <c r="C45" i="10"/>
  <c r="C46" i="10"/>
  <c r="C47" i="10"/>
  <c r="C48" i="10"/>
  <c r="I202" i="1"/>
  <c r="J192" i="1"/>
  <c r="J195" i="1"/>
  <c r="J188" i="1"/>
  <c r="J186" i="1"/>
  <c r="C3" i="10"/>
  <c r="C4" i="10"/>
  <c r="C5" i="10"/>
  <c r="C6" i="10"/>
  <c r="C7" i="10"/>
  <c r="C8" i="10"/>
  <c r="C9" i="10"/>
  <c r="C10" i="10"/>
  <c r="C11" i="10"/>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2" i="10"/>
  <c r="J184" i="1"/>
  <c r="J183" i="1"/>
  <c r="J180" i="1"/>
  <c r="J179" i="1"/>
  <c r="J178" i="1"/>
  <c r="J175" i="1"/>
  <c r="J174" i="1"/>
  <c r="J173" i="1"/>
  <c r="J172" i="1"/>
  <c r="L170" i="1"/>
  <c r="J170" i="1"/>
  <c r="L169" i="1"/>
  <c r="J169" i="1"/>
  <c r="J162" i="1"/>
  <c r="J161" i="1"/>
  <c r="J159" i="1"/>
  <c r="L158" i="1"/>
  <c r="J158" i="1"/>
  <c r="L157" i="1"/>
  <c r="J157" i="1"/>
  <c r="L156" i="1"/>
  <c r="J156" i="1"/>
  <c r="L155" i="1"/>
  <c r="J155" i="1"/>
  <c r="L154" i="1"/>
  <c r="J154" i="1"/>
  <c r="L153" i="1"/>
  <c r="J153" i="1"/>
  <c r="L152" i="1"/>
  <c r="J152" i="1"/>
  <c r="L151" i="1"/>
  <c r="J151" i="1"/>
  <c r="L150" i="1"/>
  <c r="J150" i="1"/>
  <c r="L149" i="1"/>
  <c r="J149" i="1"/>
  <c r="L148" i="1"/>
  <c r="J148" i="1"/>
  <c r="L147" i="1"/>
  <c r="J147" i="1"/>
  <c r="L146" i="1"/>
  <c r="J146" i="1"/>
  <c r="L145" i="1"/>
  <c r="J145" i="1"/>
  <c r="L144" i="1"/>
  <c r="J144" i="1"/>
  <c r="L143" i="1"/>
  <c r="J143" i="1"/>
  <c r="L142" i="1"/>
  <c r="J142" i="1"/>
  <c r="L141" i="1"/>
  <c r="J141" i="1"/>
  <c r="L140" i="1"/>
  <c r="J140" i="1"/>
  <c r="L139" i="1"/>
  <c r="J139" i="1"/>
  <c r="L138" i="1"/>
  <c r="J138" i="1"/>
  <c r="L137" i="1"/>
  <c r="J137" i="1"/>
  <c r="L136" i="1"/>
  <c r="J136" i="1"/>
  <c r="L135" i="1"/>
  <c r="J135" i="1"/>
  <c r="L134" i="1"/>
  <c r="J134" i="1"/>
  <c r="L133" i="1"/>
  <c r="J133" i="1"/>
  <c r="L132" i="1"/>
  <c r="J132" i="1"/>
  <c r="L131" i="1"/>
  <c r="J131" i="1"/>
  <c r="L130" i="1"/>
  <c r="J130" i="1"/>
  <c r="L129" i="1"/>
  <c r="J129" i="1"/>
  <c r="L128" i="1"/>
  <c r="J128" i="1"/>
  <c r="L127" i="1"/>
  <c r="J127" i="1"/>
  <c r="L126" i="1"/>
  <c r="J126" i="1"/>
  <c r="L125" i="1"/>
  <c r="J125" i="1"/>
  <c r="L124" i="1"/>
  <c r="J124" i="1"/>
  <c r="L123" i="1"/>
  <c r="J123" i="1"/>
  <c r="J119" i="1"/>
  <c r="J122" i="1"/>
  <c r="L116" i="1"/>
  <c r="J116" i="1"/>
  <c r="J96" i="1"/>
  <c r="L95" i="1"/>
  <c r="J95" i="1"/>
  <c r="L94" i="1"/>
  <c r="J94" i="1"/>
  <c r="C81" i="1"/>
  <c r="L80" i="1" l="1"/>
  <c r="J80" i="1"/>
  <c r="L79" i="1"/>
  <c r="J79" i="1"/>
  <c r="L78" i="1"/>
  <c r="J78" i="1"/>
  <c r="L28" i="1"/>
  <c r="J28" i="1"/>
  <c r="C24" i="1"/>
  <c r="F24" i="1"/>
  <c r="G24" i="1" s="1"/>
  <c r="C23" i="1"/>
  <c r="L23" i="1"/>
  <c r="J23" i="1"/>
  <c r="C10" i="1"/>
  <c r="J10" i="1"/>
  <c r="J12" i="1"/>
  <c r="L16" i="1"/>
  <c r="J16" i="1"/>
  <c r="L15" i="1"/>
  <c r="J15" i="1"/>
  <c r="G2" i="1" l="1"/>
  <c r="F2" i="1"/>
  <c r="C2" i="1" s="1"/>
  <c r="L3" i="1"/>
  <c r="L4" i="1"/>
  <c r="L5" i="1"/>
  <c r="L6" i="1"/>
  <c r="L7" i="1"/>
  <c r="L8" i="1"/>
  <c r="L9" i="1"/>
  <c r="L10" i="1"/>
  <c r="L11" i="1"/>
  <c r="L12" i="1"/>
  <c r="L13" i="1"/>
  <c r="L14" i="1"/>
  <c r="L17" i="1"/>
  <c r="L18" i="1"/>
  <c r="L19" i="1"/>
  <c r="L20" i="1"/>
  <c r="L21" i="1"/>
  <c r="L22" i="1"/>
  <c r="L24" i="1"/>
  <c r="L25" i="1"/>
  <c r="L26" i="1"/>
  <c r="L27"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81" i="1"/>
  <c r="L82" i="1"/>
  <c r="L83" i="1"/>
  <c r="L84" i="1"/>
  <c r="L85" i="1"/>
  <c r="L86" i="1"/>
  <c r="L87" i="1"/>
  <c r="L88" i="1"/>
  <c r="L89" i="1"/>
  <c r="L90" i="1"/>
  <c r="L91" i="1"/>
  <c r="L92" i="1"/>
  <c r="L93" i="1"/>
  <c r="L96" i="1"/>
  <c r="L97" i="1"/>
  <c r="L98" i="1"/>
  <c r="L99" i="1"/>
  <c r="L100" i="1"/>
  <c r="L101" i="1"/>
  <c r="L102" i="1"/>
  <c r="L103" i="1"/>
  <c r="L104" i="1"/>
  <c r="L105" i="1"/>
  <c r="L106" i="1"/>
  <c r="L107" i="1"/>
  <c r="L108" i="1"/>
  <c r="L109" i="1"/>
  <c r="L110" i="1"/>
  <c r="L111" i="1"/>
  <c r="L112" i="1"/>
  <c r="L113" i="1"/>
  <c r="L114" i="1"/>
  <c r="L115" i="1"/>
  <c r="L117" i="1"/>
  <c r="L118" i="1"/>
  <c r="L119" i="1"/>
  <c r="L120" i="1"/>
  <c r="L121" i="1"/>
  <c r="L122" i="1"/>
  <c r="J3" i="1"/>
  <c r="J4" i="1"/>
  <c r="J5" i="1"/>
  <c r="J6" i="1"/>
  <c r="J7" i="1"/>
  <c r="J8" i="1"/>
  <c r="J9" i="1"/>
  <c r="J11" i="1"/>
  <c r="J13" i="1"/>
  <c r="J14" i="1"/>
  <c r="J17" i="1"/>
  <c r="J18" i="1"/>
  <c r="J19" i="1"/>
  <c r="J20" i="1"/>
  <c r="J21" i="1"/>
  <c r="J22" i="1"/>
  <c r="J24" i="1"/>
  <c r="J25" i="1"/>
  <c r="J26" i="1"/>
  <c r="J27"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81" i="1"/>
  <c r="J82" i="1"/>
  <c r="J83" i="1"/>
  <c r="L2" i="1"/>
  <c r="J2" i="1"/>
  <c r="A2" i="5"/>
  <c r="I201" i="1"/>
  <c r="I20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tc={04D369E9-2E15-4F02-834E-8C875CC8B85C}</author>
    <author>tc={A1B10CFC-8BB1-4E64-9B5B-8098E3B30DE0}</author>
    <author>Lily Li</author>
    <author>tc={F72F164F-9951-467E-847E-3528CB8A5B7D}</author>
    <author>tc={4357911A-D517-4D61-9619-51291EF4564C}</author>
    <author>tc={D1E18127-31CE-4F10-BFC8-63C1BD60B025}</author>
    <author>tc={804DABA1-736A-41F5-B3F0-8BD3FCD477C6}</author>
    <author>tc={BC4AF260-B2AC-4B92-8C32-14ED3278B1FD}</author>
    <author>tc={19AB4994-6C06-4327-BBD7-A9521560C74C}</author>
    <author>tc={CA764618-61C8-441F-B352-79AB3FE04B46}</author>
    <author>tc={7FAFF160-47FA-48EF-B6E0-B02EEAC6B922}</author>
    <author>tc={A31A578F-7F97-407E-B062-AEC0E188DFD0}</author>
    <author>tc={333DD189-65A6-4654-917A-2AF870C82B08}</author>
    <author>Kyle Amundson</author>
    <author>tc={27225613-EFF1-4FED-B0EB-E7E914B127B0}</author>
    <author>Steven Mencos</author>
    <author>tc={2BEFDA5D-DD08-4CFE-844C-A9A43F141141}</author>
    <author>tc={5248CB47-5DCF-4B3D-854D-A61597212194}</author>
    <author>tc={F57C481A-26AE-49CD-BD2C-9D993D3720B2}</author>
    <author>tc={45021F06-956C-4117-A85B-884AE0D4C459}</author>
    <author>tc={6E8BF434-AB2D-4E66-846A-582254A30CEB}</author>
  </authors>
  <commentList>
    <comment ref="AE21" authorId="0" shapeId="0" xr:uid="{04D369E9-2E15-4F02-834E-8C875CC8B85C}">
      <text>
        <t xml:space="preserve">[Threaded comment]
Your version of Excel allows you to read this threaded comment; however, any edits to it will get removed if the file is opened in a newer version of Excel. Learn more: https://go.microsoft.com/fwlink/?linkid=870924
Comment:
    @Martin Dieterich @Lily Li apologies for the quick ask, but WKND has requested that a new coupon bank be passed through no later than this Friday (1/18). Thank you!!
cc: @Holly Coombes </t>
      </text>
    </comment>
    <comment ref="AD165" authorId="1" shapeId="0" xr:uid="{A1B10CFC-8BB1-4E64-9B5B-8098E3B30DE0}">
      <text>
        <t xml:space="preserve">[Threaded comment]
Your version of Excel allows you to read this threaded comment; however, any edits to it will get removed if the file is opened in a newer version of Excel. Learn more: https://go.microsoft.com/fwlink/?linkid=870924
Comment:
    @Jordan Cordiner disclaimer for 15FORYOU is here! </t>
      </text>
    </comment>
    <comment ref="I177" authorId="2" shapeId="0" xr:uid="{E878A7E1-B3DE-4677-B756-9B02E90318C4}">
      <text>
        <r>
          <rPr>
            <sz val="11"/>
            <color theme="1"/>
            <rFont val="Calibri"/>
            <family val="2"/>
            <scheme val="minor"/>
          </rPr>
          <t>Lily Li:
didn't bake this in forecast- should only be ~200 orders</t>
        </r>
      </text>
    </comment>
    <comment ref="AD184" authorId="3" shapeId="0" xr:uid="{F72F164F-9951-467E-847E-3528CB8A5B7D}">
      <text>
        <t xml:space="preserve">[Threaded comment]
Your version of Excel allows you to read this threaded comment; however, any edits to it will get removed if the file is opened in a newer version of Excel. Learn more: https://go.microsoft.com/fwlink/?linkid=870924
Comment:
    @Holly Coombes @Elizabeth Maron just want to double check that this is NOT gated to loyalty members who are logged in - should mimic previous loyalty codes
Reply:
    @Kyle Amundson Correct! I did NOT gate to loyalty based on the other times we have done this! </t>
      </text>
    </comment>
    <comment ref="I188" authorId="2" shapeId="0" xr:uid="{4D3AA7DB-1423-4EA2-9941-00B40F44E291}">
      <text>
        <r>
          <rPr>
            <sz val="11"/>
            <color theme="1"/>
            <rFont val="Calibri"/>
            <family val="2"/>
            <scheme val="minor"/>
          </rPr>
          <t>Lily Li:
should be ~5k assuming 55% take rate</t>
        </r>
      </text>
    </comment>
    <comment ref="I192" authorId="2" shapeId="0" xr:uid="{50F32699-16B7-44B1-B87B-D43C6ECA09D0}">
      <text>
        <r>
          <rPr>
            <sz val="11"/>
            <color theme="1"/>
            <rFont val="Calibri"/>
            <family val="2"/>
            <scheme val="minor"/>
          </rPr>
          <t>Lily Li:
~100? 1K seems too optimistic since this is an unknown 1 day SMS test &amp; learn</t>
        </r>
      </text>
    </comment>
    <comment ref="U192" authorId="4" shapeId="0" xr:uid="{4357911A-D517-4D61-9619-51291EF4564C}">
      <text>
        <t xml:space="preserve">[Threaded comment]
Your version of Excel allows you to read this threaded comment; however, any edits to it will get removed if the file is opened in a newer version of Excel. Learn more: https://go.microsoft.com/fwlink/?linkid=870924
Comment:
    @Holly Coombes can you confirm is we are able to do mix capitalization here? Pretty sure it doesn't matter but want to confirm. IF not i can adjust to all caps
Reply:
    @Kyle Amundson in the set up process and I can have the code be case sensitive or not, so this is doable! 
Reply:
    @Holly Coombes going to adjust so it is all caps!
</t>
      </text>
    </comment>
    <comment ref="I195" authorId="2" shapeId="0" xr:uid="{38C55A1C-43B8-48F5-B0A6-BF4AC9D38A29}">
      <text>
        <r>
          <rPr>
            <sz val="11"/>
            <color theme="1"/>
            <rFont val="Calibri"/>
            <family val="2"/>
            <scheme val="minor"/>
          </rPr>
          <t>Lily Li:
~9k assuming on 40% take rate to transactions</t>
        </r>
      </text>
    </comment>
    <comment ref="AD195" authorId="5" shapeId="0" xr:uid="{D1E18127-31CE-4F10-BFC8-63C1BD60B025}">
      <text>
        <t xml:space="preserve">[Threaded comment]
Your version of Excel allows you to read this threaded comment; however, any edits to it will get removed if the file is opened in a newer version of Excel. Learn more: https://go.microsoft.com/fwlink/?linkid=870924
Comment:
    @Jordan Cordiner disclaimer updated with new code! </t>
      </text>
    </comment>
    <comment ref="I196" authorId="2" shapeId="0" xr:uid="{E5393978-041E-473D-A0E5-A1D07F79470C}">
      <text>
        <r>
          <rPr>
            <sz val="11"/>
            <color theme="1"/>
            <rFont val="Calibri"/>
            <family val="2"/>
            <scheme val="minor"/>
          </rPr>
          <t xml:space="preserve">Lily Li:
~20k assuming 40% take rate
</t>
        </r>
      </text>
    </comment>
    <comment ref="I198" authorId="2" shapeId="0" xr:uid="{4A5D4B8F-5E60-4B6B-AAC0-BBA33C03BAFC}">
      <text>
        <r>
          <rPr>
            <sz val="11"/>
            <color theme="1"/>
            <rFont val="Calibri"/>
            <family val="2"/>
            <scheme val="minor"/>
          </rPr>
          <t>Lily Li:
~should be ~500 based on historical trend</t>
        </r>
      </text>
    </comment>
    <comment ref="AD215" authorId="6" shapeId="0" xr:uid="{804DABA1-736A-41F5-B3F0-8BD3FCD477C6}">
      <text>
        <t xml:space="preserve">[Threaded comment]
Your version of Excel allows you to read this threaded comment; however, any edits to it will get removed if the file is opened in a newer version of Excel. Learn more: https://go.microsoft.com/fwlink/?linkid=870924
Comment:
    @Jordan Cordiner @Kyle Amundson end date on this disclaimer has been updated here! </t>
      </text>
    </comment>
    <comment ref="I216" authorId="2" shapeId="0" xr:uid="{ECB457C3-441F-4C2C-8D56-AC6C48A12B93}">
      <text>
        <r>
          <rPr>
            <sz val="11"/>
            <color theme="1"/>
            <rFont val="Calibri"/>
            <family val="2"/>
            <scheme val="minor"/>
          </rPr>
          <t>Lily Li:
~25k</t>
        </r>
      </text>
    </comment>
    <comment ref="A237" authorId="7" shapeId="0" xr:uid="{BC4AF260-B2AC-4B92-8C32-14ED3278B1F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@Trevor Koons cc: @Lisa Regelman was this approved in P&amp;P yesterday? </t>
      </text>
    </comment>
    <comment ref="E243" authorId="8" shapeId="0" xr:uid="{19AB4994-6C06-4327-BBD7-A9521560C74C}">
      <text>
        <t>[Threaded comment]
Your version of Excel allows you to read this threaded comment; however, any edits to it will get removed if the file is opened in a newer version of Excel. Learn more: https://go.microsoft.com/fwlink/?linkid=870924
Comment:
    @Kyle Amundson just checking you meant december on these for the end date?
Reply:
    @Holly Coombes lol yes!</t>
      </text>
    </comment>
    <comment ref="E244" authorId="9" shapeId="0" xr:uid="{CA764618-61C8-441F-B352-79AB3FE04B46}">
      <text>
        <t>[Threaded comment]
Your version of Excel allows you to read this threaded comment; however, any edits to it will get removed if the file is opened in a newer version of Excel. Learn more: https://go.microsoft.com/fwlink/?linkid=870924
Comment:
    @Kyle Amundson just checking you meant december on these for the end date?
Reply:
    @Holly Coombes lol yes!</t>
      </text>
    </comment>
    <comment ref="E245" authorId="10" shapeId="0" xr:uid="{7FAFF160-47FA-48EF-B6E0-B02EEAC6B922}">
      <text>
        <t>[Threaded comment]
Your version of Excel allows you to read this threaded comment; however, any edits to it will get removed if the file is opened in a newer version of Excel. Learn more: https://go.microsoft.com/fwlink/?linkid=870924
Comment:
    @Kyle Amundson just checking you meant december on these for the end date?
Reply:
    @Holly Coombes lol yes!</t>
      </text>
    </comment>
    <comment ref="AD245" authorId="11" shapeId="0" xr:uid="{A31A578F-7F97-407E-B062-AEC0E188DFD0}">
      <text>
        <t xml:space="preserve">[Threaded comment]
Your version of Excel allows you to read this threaded comment; however, any edits to it will get removed if the file is opened in a newer version of Excel. Learn more: https://go.microsoft.com/fwlink/?linkid=870924
Comment:
    @Jordan Cordiner @Kyle Amundson end date on this disclaimer has been updated here! </t>
      </text>
    </comment>
    <comment ref="AA308" authorId="12" shapeId="0" xr:uid="{333DD189-65A6-4654-917A-2AF870C82B08}">
      <text>
        <t>[Threaded comment]
Your version of Excel allows you to read this threaded comment; however, any edits to it will get removed if the file is opened in a newer version of Excel. Learn more: https://go.microsoft.com/fwlink/?linkid=870924
Comment:
    @Holly Coombes for welcome i can't remember if these are currently stackable or not but new banks should mirror current set up!
Reply:
    same for exclsuions!</t>
      </text>
    </comment>
    <comment ref="Z313" authorId="13" shapeId="0" xr:uid="{2867BE6E-EB41-4E46-A8BD-D4D5F2DC27FC}">
      <text>
        <r>
          <rPr>
            <sz val="11"/>
            <color theme="1"/>
            <rFont val="Calibri"/>
            <family val="2"/>
            <scheme val="minor"/>
          </rPr>
          <t xml:space="preserve">Kyle Amundson:
This should mirror whatever the current exclusions are 
</t>
        </r>
      </text>
    </comment>
    <comment ref="P327" authorId="14" shapeId="0" xr:uid="{27225613-EFF1-4FED-B0EB-E7E914B127B0}">
      <text>
        <t>[Threaded comment]
Your version of Excel allows you to read this threaded comment; however, any edits to it will get removed if the file is opened in a newer version of Excel. Learn more: https://go.microsoft.com/fwlink/?linkid=870924
Comment:
    Same parameters as previous SMS evergreen code bank
Reply:
    This will be used for testing now and then used once go live</t>
      </text>
    </comment>
    <comment ref="O351" authorId="15" shapeId="0" xr:uid="{FB64876F-5E12-E049-B3E3-F408B89E5077}">
      <text>
        <r>
          <rPr>
            <b/>
            <sz val="10"/>
            <color rgb="FF000000"/>
            <rFont val="Tahoma"/>
            <family val="2"/>
          </rPr>
          <t>Steven Mencos:</t>
        </r>
        <r>
          <rPr>
            <sz val="10"/>
            <color rgb="FF000000"/>
            <rFont val="Tahoma"/>
            <family val="2"/>
          </rPr>
          <t xml:space="preserve">
</t>
        </r>
        <r>
          <rPr>
            <sz val="10"/>
            <color rgb="FF000000"/>
            <rFont val="Tahoma"/>
            <family val="2"/>
          </rPr>
          <t>Organic Social</t>
        </r>
      </text>
    </comment>
    <comment ref="C362" authorId="16" shapeId="0" xr:uid="{2BEFDA5D-DD08-4CFE-844C-A9A43F141141}">
      <text>
        <t xml:space="preserve">[Threaded comment]
Your version of Excel allows you to read this threaded comment; however, any edits to it will get removed if the file is opened in a newer version of Excel. Learn more: https://go.microsoft.com/fwlink/?linkid=870924
Comment:
    I believe Trevor already took this to P+P for approval but formally requesting the code now
</t>
      </text>
    </comment>
    <comment ref="C363" authorId="17" shapeId="0" xr:uid="{5248CB47-5DCF-4B3D-854D-A61597212194}">
      <text>
        <t xml:space="preserve">[Threaded comment]
Your version of Excel allows you to read this threaded comment; however, any edits to it will get removed if the file is opened in a newer version of Excel. Learn more: https://go.microsoft.com/fwlink/?linkid=870924
Comment:
    I believe Trevor already took this to P+P for approval but formally requesting the code now
</t>
      </text>
    </comment>
    <comment ref="C370" authorId="18" shapeId="0" xr:uid="{F57C481A-26AE-49CD-BD2C-9D993D3720B2}">
      <text>
        <t xml:space="preserve">[Threaded comment]
Your version of Excel allows you to read this threaded comment; however, any edits to it will get removed if the file is opened in a newer version of Excel. Learn more: https://go.microsoft.com/fwlink/?linkid=870924
Comment:
    this was approved in P+P already
</t>
      </text>
    </comment>
    <comment ref="C371" authorId="19" shapeId="0" xr:uid="{45021F06-956C-4117-A85B-884AE0D4C459}">
      <text>
        <t xml:space="preserve">[Threaded comment]
Your version of Excel allows you to read this threaded comment; however, any edits to it will get removed if the file is opened in a newer version of Excel. Learn more: https://go.microsoft.com/fwlink/?linkid=870924
Comment:
    this was approved in P+P already
</t>
      </text>
    </comment>
    <comment ref="D406" authorId="20" shapeId="0" xr:uid="{6E8BF434-AB2D-4E66-846A-582254A30CEB}">
      <text>
        <t xml:space="preserve">[Threaded comment]
Your version of Excel allows you to read this threaded comment; however, any edits to it will get removed if the file is opened in a newer version of Excel. Learn more: https://go.microsoft.com/fwlink/?linkid=870924
Comment:
    Exact campaign start date TBC. Will follow up if dates need adjusting!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tc={5F5D54A5-6BB3-4307-993E-525F9705DC29}</author>
    <author>tc={9805146D-F913-406E-909F-4FC2FFE37435}</author>
    <author>tc={11919016-1341-4E4E-B38D-3D238B009257}</author>
    <author>tc={843A802B-0A7D-4065-AB8F-E4D5724D669A}</author>
    <author>tc={6811E295-695F-4011-9D37-E8702AB5FF6A}</author>
    <author>tc={ECBE50E7-15BE-41BF-8D2B-D9A993237E51}</author>
    <author>tc={FAFF5492-F58C-4161-B9CD-4F645373A7B1}</author>
    <author>tc={2692D7E5-5685-4DB9-875F-080B0DFB2725}</author>
    <author>tc={83E09F34-BEA8-4FDE-94EF-A68F0AB4D348}</author>
    <author>tc={3E7EEB2E-1EA1-4B8B-9022-0EAE31166557}</author>
    <author>tc={4BA0D0C6-0E64-4ECC-A1BD-09866C464616}</author>
    <author>tc={8699F618-7524-4EFC-B4F4-4C5423ACA78A}</author>
    <author>tc={EF2DA8E4-6641-49F3-8C41-605FD8A811B4}</author>
    <author>tc={A6EE9C8B-FBA2-4D1E-AEE7-451F2AE02C3A}</author>
    <author>tc={F1CA84DF-9BB4-4A61-8E90-05DC1503CAB4}</author>
    <author>tc={9C39A3B3-F3F9-4F0F-A11A-541DAD756F9B}</author>
    <author>tc={8426937F-7FBD-4F49-A691-86D3415648A5}</author>
    <author>tc={4DD40C2E-5491-4562-B252-13CAA264A551}</author>
    <author>tc={C5901BE0-CAB6-4D37-A9A4-21C1F47A5630}</author>
    <author>tc={4E0F5B3E-FC40-402A-8BE4-2B35C42BDFA8}</author>
    <author>tc={41955B98-771A-482E-8DB4-82605190851F}</author>
    <author>tc={BFB9809A-2123-4B9B-AEB5-B80B9A26A4C7}</author>
    <author>tc={391062F5-5321-46F0-B3EB-AF5048337ACE}</author>
    <author>tc={C2E69DF7-1F86-4333-804D-5CF2C179C3A7}</author>
  </authors>
  <commentList>
    <comment ref="D48" authorId="0" shapeId="0" xr:uid="{5F5D54A5-6BB3-4307-993E-525F9705DC2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@Holly Coombes flagging that the IMC has HS ending on 1/8 but this disclaimer has it as 1/9
cc: @Brenna Mielke for any email disclaimer updates needed</t>
      </text>
    </comment>
    <comment ref="C50" authorId="1" shapeId="0" xr:uid="{9805146D-F913-406E-909F-4FC2FFE37435}">
      <text>
        <t xml:space="preserve">[Threaded comment]
Your version of Excel allows you to read this threaded comment; however, any edits to it will get removed if the file is opened in a newer version of Excel. Learn more: https://go.microsoft.com/fwlink/?linkid=870924
Comment:
    @Holly Coombes have the dates changed on this? The IMC is showing this running through 1/15?
Reply:
    @Kyle Amundson IMC might have changed since I last updated this a while back, but yes 1/15 looks correct to me too and is now updated here! </t>
      </text>
    </comment>
    <comment ref="D51" authorId="2" shapeId="0" xr:uid="{11919016-1341-4E4E-B38D-3D238B00925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@Brenna Mielke @Kyle Amundson Dina and team decided to exclude Baby Bundles for this promo, so I have added that verbiage to the disclaimer! 
Reply:
@Holly Coombes Thank you for letting us know, I've sent in the update to our coding partners. </t>
      </text>
    </comment>
    <comment ref="D52" authorId="3" shapeId="0" xr:uid="{843A802B-0A7D-4065-AB8F-E4D5724D669A}">
      <text>
        <t>[Threaded comment]
Your version of Excel allows you to read this threaded comment; however, any edits to it will get removed if the file is opened in a newer version of Excel. Learn more: https://go.microsoft.com/fwlink/?linkid=870924
Comment:
    Hi @Kyle Amundson @Brenna Mielke I have taken out the part about codes in the line that starts with 'not valid with other offers' per Angela's call out yesterday. I made this update to D52, D53, and D54!</t>
      </text>
    </comment>
    <comment ref="C55" authorId="4" shapeId="0" xr:uid="{6811E295-695F-4011-9D37-E8702AB5FF6A}">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@Holly Coombes We might want to say "Pajamas" instead of "Sleep". Sleep isn't a customer facing term. </t>
      </text>
    </comment>
    <comment ref="D60" authorId="5" shapeId="0" xr:uid="{ECBE50E7-15BE-41BF-8D2B-D9A993237E51}">
      <text>
        <t xml:space="preserve">[Threaded comment]
Your version of Excel allows you to read this threaded comment; however, any edits to it will get removed if the file is opened in a newer version of Excel. Learn more: https://go.microsoft.com/fwlink/?linkid=870924
Comment:
    @Kyle Amundson @Brenna Woodruff I edited this to add in the line 'one use per customer'
Reply:
    Sorry @Brenna Woodruff @Kyle Amundson i've updated this one more time based on some feedback we got today from slt </t>
      </text>
    </comment>
    <comment ref="D67" authorId="6" shapeId="0" xr:uid="{FAFF5492-F58C-4161-B9CD-4F645373A7B1}">
      <text>
        <t>[Threaded comment]
Your version of Excel allows you to read this threaded comment; however, any edits to it will get removed if the file is opened in a newer version of Excel. Learn more: https://go.microsoft.com/fwlink/?linkid=870924
Comment:
    Hi @Kyle Amundson @Jordan Cordiner disclaimers are all up to date here! 
Reply:
    @Kyle Amundson @Jordan Cordiner end date has been updated on this disclaimer as well!</t>
      </text>
    </comment>
    <comment ref="D68" authorId="7" shapeId="0" xr:uid="{2692D7E5-5685-4DB9-875F-080B0DFB2725}">
      <text>
        <t>[Threaded comment]
Your version of Excel allows you to read this threaded comment; however, any edits to it will get removed if the file is opened in a newer version of Excel. Learn more: https://go.microsoft.com/fwlink/?linkid=870924
Comment:
    @Kyle Amundson @Jordan Cordiner with today's changes I've updated the end date of this promo</t>
      </text>
    </comment>
    <comment ref="D69" authorId="8" shapeId="0" xr:uid="{83E09F34-BEA8-4FDE-94EF-A68F0AB4D348}">
      <text>
        <t>[Threaded comment]
Your version of Excel allows you to read this threaded comment; however, any edits to it will get removed if the file is opened in a newer version of Excel. Learn more: https://go.microsoft.com/fwlink/?linkid=870924
Comment:
    @Jordan Cordiner @Kyle Amundson end date for Dresses promo updated in the disclaimer!</t>
      </text>
    </comment>
    <comment ref="D70" authorId="9" shapeId="0" xr:uid="{3E7EEB2E-1EA1-4B8B-9022-0EAE31166557}">
      <text>
        <t>[Threaded comment]
Your version of Excel allows you to read this threaded comment; however, any edits to it will get removed if the file is opened in a newer version of Excel. Learn more: https://go.microsoft.com/fwlink/?linkid=870924
Comment:
    @Kyle Amundson @Jordan Cordiner end date has been updated on this disclaimer</t>
      </text>
    </comment>
    <comment ref="D71" authorId="10" shapeId="0" xr:uid="{4BA0D0C6-0E64-4ECC-A1BD-09866C464616}">
      <text>
        <t xml:space="preserve">[Threaded comment]
Your version of Excel allows you to read this threaded comment; however, any edits to it will get removed if the file is opened in a newer version of Excel. Learn more: https://go.microsoft.com/fwlink/?linkid=870924
Comment:
    @Kyle Amundson @Jordan Cordiner New disclaimer for 25% off sale here! </t>
      </text>
    </comment>
    <comment ref="D72" authorId="11" shapeId="0" xr:uid="{8699F618-7524-4EFC-B4F4-4C5423ACA78A}">
      <text>
        <t xml:space="preserve">[Threaded comment]
Your version of Excel allows you to read this threaded comment; however, any edits to it will get removed if the file is opened in a newer version of Excel. Learn more: https://go.microsoft.com/fwlink/?linkid=870924
Comment:
    @Jordan Cordiner @Kyle Amundson Added 30% off contingency disclaimer here! </t>
      </text>
    </comment>
    <comment ref="D75" authorId="12" shapeId="0" xr:uid="{EF2DA8E4-6641-49F3-8C41-605FD8A811B4}">
      <text>
        <t xml:space="preserve">[Threaded comment]
Your version of Excel allows you to read this threaded comment; however, any edits to it will get removed if the file is opened in a newer version of Excel. Learn more: https://go.microsoft.com/fwlink/?linkid=870924
Comment:
    @Jordan Cordiner this disclaimer has been updated! 
Reply:
    @Jordan Cordiner added in a line about Bluey in this disclaimer! </t>
      </text>
    </comment>
    <comment ref="D83" authorId="13" shapeId="0" xr:uid="{A6EE9C8B-FBA2-4D1E-AEE7-451F2AE02C3A}">
      <text>
        <t xml:space="preserve">[Threaded comment]
Your version of Excel allows you to read this threaded comment; however, any edits to it will get removed if the file is opened in a newer version of Excel. Learn more: https://go.microsoft.com/fwlink/?linkid=870924
Comment:
    @Kyle Amundson @Jordan Cordiner new disclaimer here for the add on of '50% off spring must haves' </t>
      </text>
    </comment>
    <comment ref="D90" authorId="14" shapeId="0" xr:uid="{F1CA84DF-9BB4-4A61-8E90-05DC1503CAB4}">
      <text>
        <t>[Threaded comment]
Your version of Excel allows you to read this threaded comment; however, any edits to it will get removed if the file is opened in a newer version of Excel. Learn more: https://go.microsoft.com/fwlink/?linkid=870924
Comment:
    @Jordan Cordiner hi, i updated this hannasoft disclaimer to note that bundles will be excluded</t>
      </text>
    </comment>
    <comment ref="D94" authorId="15" shapeId="0" xr:uid="{9C39A3B3-F3F9-4F0F-A11A-541DAD756F9B}">
      <text>
        <t xml:space="preserve">[Threaded comment]
Your version of Excel allows you to read this threaded comment; however, any edits to it will get removed if the file is opened in a newer version of Excel. Learn more: https://go.microsoft.com/fwlink/?linkid=870924
Comment:
    @Jordan Cordiner Week 15 disclaimers are all here! </t>
      </text>
    </comment>
    <comment ref="D99" authorId="16" shapeId="0" xr:uid="{8426937F-7FBD-4F49-A691-86D3415648A5}">
      <text>
        <t xml:space="preserve">[Threaded comment]
Your version of Excel allows you to read this threaded comment; however, any edits to it will get removed if the file is opened in a newer version of Excel. Learn more: https://go.microsoft.com/fwlink/?linkid=870924
Comment:
    @Jordan Cordiner hey! sale on sale code disclaimer has been updated here! </t>
      </text>
    </comment>
    <comment ref="D124" authorId="17" shapeId="0" xr:uid="{4DD40C2E-5491-4562-B252-13CAA264A551}">
      <text>
        <t>[Threaded comment]
Your version of Excel allows you to read this threaded comment; however, any edits to it will get removed if the file is opened in a newer version of Excel. Learn more: https://go.microsoft.com/fwlink/?linkid=870924
Comment:
    @Jordan Cordiner disclaimer updated from 30% to 40% per the change yesterday!</t>
      </text>
    </comment>
    <comment ref="D143" authorId="18" shapeId="0" xr:uid="{C5901BE0-CAB6-4D37-A9A4-21C1F47A5630}">
      <text>
        <t xml:space="preserve">[Threaded comment]
Your version of Excel allows you to read this threaded comment; however, any edits to it will get removed if the file is opened in a newer version of Excel. Learn more: https://go.microsoft.com/fwlink/?linkid=870924
Comment:
    @Jordan Cordiner this had an end date of 10/7 but just updated it the correct 10/6 end date! </t>
      </text>
    </comment>
    <comment ref="D160" authorId="19" shapeId="0" xr:uid="{4E0F5B3E-FC40-402A-8BE4-2B35C42BDFA8}">
      <text>
        <t>[Threaded comment]
Your version of Excel allows you to read this threaded comment; however, any edits to it will get removed if the file is opened in a newer version of Excel. Learn more: https://go.microsoft.com/fwlink/?linkid=870924
Comment:
    @Jordan Cordiner here is the black friday disclaimer!</t>
      </text>
    </comment>
    <comment ref="D175" authorId="20" shapeId="0" xr:uid="{41955B98-771A-482E-8DB4-82605190851F}">
      <text>
        <t xml:space="preserve">[Threaded comment]
Your version of Excel allows you to read this threaded comment; however, any edits to it will get removed if the file is opened in a newer version of Excel. Learn more: https://go.microsoft.com/fwlink/?linkid=870924
Comment:
    @Jordan Cordiner @Kyle Amundson confirmed that clearance WILL be eligible with this code so disclaimer has been updated accordingly! </t>
      </text>
    </comment>
    <comment ref="D211" authorId="21" shapeId="0" xr:uid="{BFB9809A-2123-4B9B-AEB5-B80B9A26A4C7}">
      <text>
        <t>[Threaded comment]
Your version of Excel allows you to read this threaded comment; however, any edits to it will get removed if the file is opened in a newer version of Excel. Learn more: https://go.microsoft.com/fwlink/?linkid=870924
Comment:
    @Jordan Cordiner sorry the last minute update, but I added a line to this TREAT20 disclaimer about it being excluded for international. Thank you!</t>
      </text>
    </comment>
    <comment ref="D214" authorId="22" shapeId="0" xr:uid="{391062F5-5321-46F0-B3EB-AF5048337ACE}">
      <text>
        <t xml:space="preserve">[Threaded comment]
Your version of Excel allows you to read this threaded comment; however, any edits to it will get removed if the file is opened in a newer version of Excel. Learn more: https://go.microsoft.com/fwlink/?linkid=870924
Comment:
    @Jordan Cordiner hi, had to revise this disclaimer a bit to include 'exclusions apply'! </t>
      </text>
    </comment>
    <comment ref="D258" authorId="23" shapeId="0" xr:uid="{C2E69DF7-1F86-4333-804D-5CF2C179C3A7}">
      <text>
        <t>[Threaded comment]
Your version of Excel allows you to read this threaded comment; however, any edits to it will get removed if the file is opened in a newer version of Excel. Learn more: https://go.microsoft.com/fwlink/?linkid=870924
Comment:
    @Jordan Cordiner @Kyle Amundson hi, I added in a secondary disclaimer for NEW20 that calls out that it's for Hanna Rewards members only if you need it anywhere on your end!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tc={5127E4CE-231B-46A6-983B-5FC60621C3C0}</author>
  </authors>
  <commentList>
    <comment ref="J21" authorId="0" shapeId="0" xr:uid="{5127E4CE-231B-46A6-983B-5FC60621C3C0}">
      <text>
        <t xml:space="preserve">[Threaded comment]
Your version of Excel allows you to read this threaded comment; however, any edits to it will get removed if the file is opened in a newer version of Excel. Learn more: https://go.microsoft.com/fwlink/?linkid=870924
Comment:
    @Jordan Cordiner so sorry for the late edit, but added in a line about code being for US customers only! </t>
      </text>
    </comment>
  </commentList>
</comments>
</file>

<file path=xl/sharedStrings.xml><?xml version="1.0" encoding="utf-8"?>
<sst xmlns="http://schemas.openxmlformats.org/spreadsheetml/2006/main" count="9078" uniqueCount="2655">
  <si>
    <t xml:space="preserve">Approval </t>
  </si>
  <si>
    <t>Request Date</t>
  </si>
  <si>
    <t>Approval Date Needed By</t>
  </si>
  <si>
    <t>Customer Campaign Start Date</t>
  </si>
  <si>
    <t>Customer Campaign End Date</t>
  </si>
  <si>
    <t xml:space="preserve">Date that your team needs code(s) by - if applicable. </t>
  </si>
  <si>
    <t>If testing before customer start date, what is the start date you need?</t>
  </si>
  <si>
    <t>Expected Impressions/Total Sends</t>
  </si>
  <si>
    <t>Expected Transactions</t>
  </si>
  <si>
    <t>Expected Redemption Rate</t>
  </si>
  <si>
    <t>Actualized Transactions</t>
  </si>
  <si>
    <t>Actualized Redemption Rate</t>
  </si>
  <si>
    <t xml:space="preserve">Comp or Incremental to LY </t>
  </si>
  <si>
    <t>Requesters Name</t>
  </si>
  <si>
    <t>Marketing channel</t>
  </si>
  <si>
    <t>Campaign Name &amp; Description</t>
  </si>
  <si>
    <t xml:space="preserve">Is this an order level discount or product level?
(discount is taken off the whole order or just on particular products)
</t>
  </si>
  <si>
    <r>
      <rPr>
        <b/>
        <sz val="11"/>
        <color rgb="FFFFFFFF"/>
        <rFont val="Calibri"/>
        <family val="2"/>
        <scheme val="minor"/>
      </rPr>
      <t xml:space="preserve">Code type  
</t>
    </r>
    <r>
      <rPr>
        <b/>
        <sz val="11"/>
        <color rgb="FFED7D31"/>
        <rFont val="Calibri"/>
        <family val="2"/>
        <scheme val="minor"/>
      </rPr>
      <t xml:space="preserve">Vanity </t>
    </r>
    <r>
      <rPr>
        <b/>
        <sz val="11"/>
        <color rgb="FFFFFFFF"/>
        <rFont val="Calibri"/>
        <family val="2"/>
        <scheme val="minor"/>
      </rPr>
      <t xml:space="preserve">Or </t>
    </r>
    <r>
      <rPr>
        <b/>
        <sz val="11"/>
        <color rgb="FFA9D08E"/>
        <rFont val="Calibri"/>
        <family val="2"/>
        <scheme val="minor"/>
      </rPr>
      <t>Unique</t>
    </r>
  </si>
  <si>
    <r>
      <rPr>
        <b/>
        <sz val="11"/>
        <color rgb="FFA9D08E"/>
        <rFont val="Calibri"/>
        <family val="2"/>
        <scheme val="minor"/>
      </rPr>
      <t>Unique Code:</t>
    </r>
    <r>
      <rPr>
        <b/>
        <sz val="11"/>
        <color rgb="FFFFFFFF"/>
        <rFont val="Calibri"/>
        <family val="2"/>
        <scheme val="minor"/>
      </rPr>
      <t xml:space="preserve"> How many codes?</t>
    </r>
  </si>
  <si>
    <r>
      <rPr>
        <b/>
        <sz val="11"/>
        <color rgb="FFA9D08E"/>
        <rFont val="Calibri"/>
        <family val="2"/>
      </rPr>
      <t xml:space="preserve">Unique Code: </t>
    </r>
    <r>
      <rPr>
        <b/>
        <sz val="11"/>
        <color rgb="FFFFFFFF"/>
        <rFont val="Calibri"/>
        <family val="2"/>
      </rPr>
      <t xml:space="preserve">Number of uses per code.
 </t>
    </r>
    <r>
      <rPr>
        <b/>
        <i/>
        <sz val="11"/>
        <color rgb="FFFFFFFF"/>
        <rFont val="Calibri"/>
        <family val="2"/>
      </rPr>
      <t>This is generally single use.</t>
    </r>
  </si>
  <si>
    <r>
      <rPr>
        <b/>
        <sz val="11"/>
        <color rgb="FFED7D31"/>
        <rFont val="Calibri"/>
        <family val="2"/>
      </rPr>
      <t xml:space="preserve">Vanity Code: 
</t>
    </r>
    <r>
      <rPr>
        <b/>
        <i/>
        <sz val="11"/>
        <color rgb="FFFFFFFF"/>
        <rFont val="Calibri"/>
        <family val="2"/>
      </rPr>
      <t>What is the actual code.</t>
    </r>
  </si>
  <si>
    <r>
      <rPr>
        <b/>
        <sz val="11"/>
        <color rgb="FFED7D31"/>
        <rFont val="Calibri"/>
        <family val="2"/>
        <scheme val="minor"/>
      </rPr>
      <t xml:space="preserve">Vanity Code: </t>
    </r>
    <r>
      <rPr>
        <b/>
        <sz val="11"/>
        <color rgb="FFFFFFFF"/>
        <rFont val="Calibri"/>
        <family val="2"/>
        <scheme val="minor"/>
      </rPr>
      <t xml:space="preserve"> Number of uses per customer?</t>
    </r>
  </si>
  <si>
    <t>Is Discount Auto-applied OR Manually Entered at Checkout?</t>
  </si>
  <si>
    <t>Source Code:  Is a source code needed.</t>
  </si>
  <si>
    <t>New Customer Only?</t>
  </si>
  <si>
    <r>
      <rPr>
        <b/>
        <sz val="11"/>
        <color rgb="FFFFFFFF"/>
        <rFont val="Calibri"/>
        <family val="2"/>
      </rPr>
      <t xml:space="preserve">What are the exclusions? 
</t>
    </r>
    <r>
      <rPr>
        <b/>
        <i/>
        <sz val="11"/>
        <color rgb="FFBDD7EE"/>
        <rFont val="Calibri"/>
        <family val="2"/>
      </rPr>
      <t xml:space="preserve">Will exclude Final Sale unless otherwise noted.
Categories to consider: Clearance &amp; Final Sale </t>
    </r>
  </si>
  <si>
    <r>
      <rPr>
        <b/>
        <sz val="11"/>
        <color rgb="FFFFFFFF"/>
        <rFont val="Calibri"/>
        <family val="2"/>
      </rPr>
      <t xml:space="preserve">Combinable with current offers? 
</t>
    </r>
    <r>
      <rPr>
        <b/>
        <i/>
        <sz val="11"/>
        <color rgb="FFBDD7EE"/>
        <rFont val="Calibri"/>
        <family val="2"/>
      </rPr>
      <t>Will not combine with other offers unless noted.</t>
    </r>
  </si>
  <si>
    <t xml:space="preserve">Is this promtion stackable with Loyalty Redemptions?
</t>
  </si>
  <si>
    <r>
      <rPr>
        <b/>
        <sz val="11"/>
        <color rgb="FFFFFFFF"/>
        <rFont val="Calibri"/>
        <family val="2"/>
      </rPr>
      <t xml:space="preserve">Campaign ID 
</t>
    </r>
    <r>
      <rPr>
        <b/>
        <i/>
        <sz val="11"/>
        <color rgb="FF4BACC6"/>
        <rFont val="Calibri"/>
        <family val="2"/>
      </rPr>
      <t>Leave blank, filled in during setup.</t>
    </r>
  </si>
  <si>
    <r>
      <rPr>
        <b/>
        <sz val="11"/>
        <color rgb="FFFFFFFF"/>
        <rFont val="Calibri"/>
        <family val="2"/>
      </rPr>
      <t>Disclaimer Details</t>
    </r>
    <r>
      <rPr>
        <b/>
        <sz val="11"/>
        <color rgb="FFC0504D"/>
        <rFont val="Calibri"/>
        <family val="2"/>
      </rPr>
      <t xml:space="preserve"> </t>
    </r>
  </si>
  <si>
    <t xml:space="preserve">NOTES </t>
  </si>
  <si>
    <t>Completed</t>
  </si>
  <si>
    <t>Example</t>
  </si>
  <si>
    <t>Comp</t>
  </si>
  <si>
    <t>Holly Coombes</t>
  </si>
  <si>
    <t>Site</t>
  </si>
  <si>
    <t xml:space="preserve">Hanna Sale Extra 25% Sale </t>
  </si>
  <si>
    <t>Order Level</t>
  </si>
  <si>
    <t>Unique</t>
  </si>
  <si>
    <t>One-Time</t>
  </si>
  <si>
    <t>EXTRA25</t>
  </si>
  <si>
    <t>Auto-Applied</t>
  </si>
  <si>
    <t>No</t>
  </si>
  <si>
    <t>Final Sale</t>
  </si>
  <si>
    <t xml:space="preserve">No </t>
  </si>
  <si>
    <t>FA23-mktg-example-promotion</t>
  </si>
  <si>
    <t>Extra 25% off order. Valid from 1/6/23-1/13/23 at 11:59 pm PST.  Discount taken with code at checkout. Cannot be combined with other offers or applied to previous purchases. Excludes Hanna-Me-Downs resale transactions. Not valid on final sale, giftcards, shipping or taxes. To redeem, enter code in the promo code box during checkout. Limit of one use per customer, can not be combined with other offers. Not redeemable for gift cards, cash, credit, or towards previous purchases. Hanna Andersson reserves the right to modify or cancel this offer at any time.</t>
  </si>
  <si>
    <t>Yes</t>
  </si>
  <si>
    <t>Yes confirmed 12/19</t>
  </si>
  <si>
    <t>Dori McGuire</t>
  </si>
  <si>
    <t>Brand/Gifting initiative</t>
  </si>
  <si>
    <t>Baby Bundle Inserts - 20% off New Customers</t>
  </si>
  <si>
    <t>one-time</t>
  </si>
  <si>
    <t>Manually Applied</t>
  </si>
  <si>
    <t>Final Sale, Sitewide sale, Clearance (mirror New Customer)</t>
  </si>
  <si>
    <t>HO23-BABYGIFTING-DEC</t>
  </si>
  <si>
    <t>20% off first order with code. Discount taken with code entry at checkout. One time use only. Cannot be applied to previous purchases, Final Sale, or Clearance. Not eligible during sitewide sales. Cannot be combined with other offers. Valid through 6/1/25. Not valid on select items: giftcards, shipping or taxes. To redeem, enter code in the promo code box during checkout. Limit of one promo code per order, cannot be combined with other offers. Not redeemable for gift cards, cash, credit, or towards previous purchases. Hanna Andersson reserves the right to modify or cancel this offer at any time.</t>
  </si>
  <si>
    <t>Angela Kourtoglou</t>
  </si>
  <si>
    <t>CCC Customer Appeasement</t>
  </si>
  <si>
    <t>20% off $100</t>
  </si>
  <si>
    <t>HO23-CCC-CODES</t>
  </si>
  <si>
    <t>Valid through 11:59pm PT on 12/31/2024.  Discount taken with code at checkout. Cannot be combined with other offers or applied to previous purchases.  Not valid on select items: Final Sale, giftcards, hipping or taxes. To redeem, enter code in the promo code box during checkout.  Limit of one offer code per order.  Excludes Hanna-Me-Downs resale transactions.  Not redeemable for gift cards, cash, credit, or towards previous purchases. Not valid in retail stores or outlets.  Hanna Andersson reserves the right to modify or cancel this offer at any time.</t>
  </si>
  <si>
    <t>10% off Entire Order</t>
  </si>
  <si>
    <t>25% off Entire Order</t>
  </si>
  <si>
    <t>25% Off with code:  Valid through 11:59pm PT on 12/31/2024.  Discount taken with code at checkout. Cannot be combined with other offers or applied to previous purchases.  Not valid on select items: Final Sale, giftcards, shipping or taxes. To redeem, enter code in the promo code box during checkout.  Limit of one offer code per order.  Excludes Hanna-Me-Downs resale transactions.  Not redeemable for gift cards, cash, credit, or towards previous purchases. Not valid in retail stores or outlets.  Hanna Andersson reserves the right to modify or cancel this offer at any time.</t>
  </si>
  <si>
    <t>$5 Free Ship</t>
  </si>
  <si>
    <t>Free standard shipping is valid on orders shipped to a single U.S. address (excluding AK and HI). Not valid on previous orders.  Hanna Andersson reserves the right to make changes to promotions at any time.</t>
  </si>
  <si>
    <t>$10 Expired Hanna Reward</t>
  </si>
  <si>
    <t>10% off: Valid through 11:59pm PT on 12/31/2024.  Discount taken with code at checkout. Cannot be combined with other offers or applied to previous purchases.  Not valid on select items: Final Sale, giftcards, hipping or taxes. To redeem, enter code in the promo code box during checkout.  Limit of one offer code per order.  Excludes Hanna-Me-Downs resale transactions.  Not redeemable for gift cards, cash, credit, or towards previous purchases. Not valid in retail stores or outlets.  Hanna Andersson reserves the right to modify or cancel this offer at any time.</t>
  </si>
  <si>
    <t>15% off Entire Order</t>
  </si>
  <si>
    <t>15% Off with code:  Valid through 11:59pm PT on 12/31/2024.  Discount taken with code at checkout. Cannot be combined with other offers or applied to previous purchases.  Not valid on select items: Final Sale, giftcards, shipping or taxes. To redeem, enter code in the promo code box during checkout.  Limit of one offer code per order.  Excludes Hanna-Me-Downs resale transactions.  Not redeemable for gift cards, cash, credit, or towards previous purchases. Not valid in retail stores or outlets.  Hanna Andersson reserves the right to modify or cancel this offer at any time.</t>
  </si>
  <si>
    <t>Yes confirmed 1/3</t>
  </si>
  <si>
    <t xml:space="preserve">Incremental </t>
  </si>
  <si>
    <t>Brenna Mielke</t>
  </si>
  <si>
    <t>Email</t>
  </si>
  <si>
    <t>EXTRA 20% off Baby Sleep</t>
  </si>
  <si>
    <t>Product Level</t>
  </si>
  <si>
    <t>Single Use</t>
  </si>
  <si>
    <t xml:space="preserve">Clearance, Final Sale </t>
  </si>
  <si>
    <t>SPR24-JAN-EMAIL-BABY20</t>
  </si>
  <si>
    <t>Extra 20% Off Baby Sleep. Valid through 1/22/2024 at 11:59PM PST. Apply your unique code in cart. Exclusions may apply including Final Sale, Clearance, and Baby Bundles. Not valid with other offers or codes. Cannot be applied to previous purchases, no price adjustments. Offer does not apply to shipping or taxes. Not redeemable for gift cards, cash, or credit. Not eligible on International orders. Hanna Andersson reserves the right to modify or cancel this offer at any time.</t>
  </si>
  <si>
    <t>TBD</t>
  </si>
  <si>
    <t>Sarah Hochsztein</t>
  </si>
  <si>
    <t>Podcast</t>
  </si>
  <si>
    <t>Podcast Campaign - 20% off new customers</t>
  </si>
  <si>
    <t>Blake Corker</t>
  </si>
  <si>
    <t>Paid Social</t>
  </si>
  <si>
    <t>New Custmer 25% Off - Paid Social Prospecting</t>
  </si>
  <si>
    <t>Vanity</t>
  </si>
  <si>
    <t>NewYear25</t>
  </si>
  <si>
    <t>Clearance, Final Sale</t>
  </si>
  <si>
    <t>SPR24-PAIDSOCIAL-NEWYEAR25</t>
  </si>
  <si>
    <t>Extra 25% off your purchase for New Customers only with code NEWYEAR25. Valid through 2/3/24 at 11:59 pm PST. Discount taken with code at checkout. Cannot be combined with other offers or applied to previous purchases. Excludes Hanna-Me-Downs resale transactions. Not valid on final sale, clearance, giftcards, shipping or taxes.To redeem, enter code in the promo code box during checkout. Limit of one use per customer, can not be combined with other offers or Hanna Rewards. Not redeemable for gift cards, cash, credit, or towards previous purchases. Hanna Andersson reserves the right to modify or cancel this offer at any time.</t>
  </si>
  <si>
    <t>Leah Cascarano</t>
  </si>
  <si>
    <t>Influencer</t>
  </si>
  <si>
    <t>Ambassador - 15% Off Entire Order</t>
  </si>
  <si>
    <t>Single Use, max 300 per code</t>
  </si>
  <si>
    <t>TBD (1 per ambassador)</t>
  </si>
  <si>
    <t>Cancelled Rqst</t>
  </si>
  <si>
    <t>Brand Partnerships</t>
  </si>
  <si>
    <t>Tencel Partners - 20% off Tencel First Order</t>
  </si>
  <si>
    <t>Yes confirmed 1/3 - CANCELLED PH</t>
  </si>
  <si>
    <t>Paid Influencers - 15% Off Entire Order</t>
  </si>
  <si>
    <t>TBD (1 per influencer)</t>
  </si>
  <si>
    <t>Personal Shopper VIP Cards</t>
  </si>
  <si>
    <t>SPR24-CCC-PSHOPPERVIP</t>
  </si>
  <si>
    <t>10% off your entire order with code. Valid through 1/25/25 at 11:59pm PST. Discount taken with code at checkout. Cannot be combined with other offers, codes, or applied to previous purchases. One use per customer. Not redeemable for gift cards, cash, credit, or towards previous purchases. Hanna Andersson reserves the right to modify or cancel this offer at any time.</t>
  </si>
  <si>
    <t>Creative request submitted for actual VIP cards to be briefed, copy created for submission to printers.  Each VIP Card will have a unique code for PS and/or Hannas to hand out (ideally new customer aquisition.  Codes should be passed off to Audrey Younna.</t>
  </si>
  <si>
    <t>Leila Chung</t>
  </si>
  <si>
    <t>MLK Flash Sale: Extra 20% off entire order</t>
  </si>
  <si>
    <t>single use</t>
  </si>
  <si>
    <t>3DAYWKND</t>
  </si>
  <si>
    <t>Final Sale, Baby Bundles</t>
  </si>
  <si>
    <t>SPR24-SITE-MLKFLASH-3DAYWKND</t>
  </si>
  <si>
    <t>Flash Sale: Extra 20% off Entire Order w/ Code 3DAYWKND. Valid through 1/15/2024 at 11:59PM PST. Code must be applied in cart for discount. Exclusions may apply including Final Sale and Baby Bundles. Not valid with other offers or codes. Cannot be applied to previous purchases, no price adjustments. Offer does not apply to shipping or taxes. Not redeemable for gift cards, cash, or credit. Hanna Andersson reserves the right to modify or cancel this offer at any time.</t>
  </si>
  <si>
    <t>Yes confirmed 1/17</t>
  </si>
  <si>
    <t>Brand/Product Bundles</t>
  </si>
  <si>
    <t>Baby Bundle Inserts (incremental for Tencel creative)- 20% off New Customers</t>
  </si>
  <si>
    <t>Single use</t>
  </si>
  <si>
    <t>SP24-BRAND-TENCELBABYBUNDLES</t>
  </si>
  <si>
    <t>20% off first order with code. Discount taken with code entry at checkout. One time use only. Cannot be applied to previous purchases, Final Sale, or Clearance. Not eligible during sitewide sales. Valid through 6/1/25. Not valid on select items: giftcards, shipping or taxes. To redeem, enter code in the promo code box during checkout. Limit of one promo code per order, cannot be combined with other offers. Not redeemable for gift cards, cash, credit, or towards previous purchases. Hanna Andersson reserves the right to modify or cancel this offer at any time.</t>
  </si>
  <si>
    <t xml:space="preserve">Partner/vendor codes </t>
  </si>
  <si>
    <t>20% code for select Hanna marketing vendor/partner usage</t>
  </si>
  <si>
    <t>Final Sale, Sitewide Sale, Clearance</t>
  </si>
  <si>
    <t>SP24-PARTNER-VENDOR20</t>
  </si>
  <si>
    <t>Extra 20% off your with code. Valid through 5/1/24 at 11:59 pm PST. Discount taken with code at checkout. Cannot be combined with other offers or applied to previous purchases. Excludes Hanna-Me-Downs resale transactions. Not valid on final sale, clearance, giftcards, shipping or taxes. To redeem, enter code in the promo code box during checkout. Limit of one use per customer, can not be combined with other offer, Hanna Rewards, or sitewide sales. Not redeemable for gift cards, cash, credit, or towards previous purchases. Hanna Andersson reserves the right to modify or cancel this offer at any time.</t>
  </si>
  <si>
    <t>Courtney Hageman</t>
  </si>
  <si>
    <t>20% off Welcome offer to new opt-ins (Wunderkind replenishment)</t>
  </si>
  <si>
    <t>SP24_EMAIL_WELCOME20</t>
  </si>
  <si>
    <t xml:space="preserve">20% off for new Customers: Discount taken with code entry at checkout. Code entry provided on site upon clicking from this email. Cannot be applied to previous purchases. Valid for two weeks from receipt. Not valid on select items: clearance, final sale, giftcards, shipping or taxes. Limit of one per customer, cannot be combined with other offers or sitewide promotions, other exclusions may apply, see site for details. To redeem, enter code in the promo code box during checkout. Not redeemable for gift cards, cash, credit, or towards previous purchases. Hanna Andersson reserves the right to modify or cancel this offer at anytime. </t>
  </si>
  <si>
    <t>Wunderkind is running low on the current Welcome offer code bank and has requested a coupon bank replenishment (in CSV form) ASAP.</t>
  </si>
  <si>
    <t>Yes confirmed 1/25</t>
  </si>
  <si>
    <t>15% Off Entire Order</t>
  </si>
  <si>
    <t>JESSKEYS</t>
  </si>
  <si>
    <t>SP24_INFLUENCERS_ALL</t>
  </si>
  <si>
    <t>Discount taken with code at checkout. Valid through 2/24/24 at 11:59PM PST. Offer valid online only. Not valid on select items: clearance, final sale, and gift cards. To redeem, enter code in the promo code box during checkout. Limit of one promo code per order. Cannot be combined with other offers. Not redeemable for gift cards, cash, credit, or towards previous purchases. Not valid on international orders. Hanna Andersson reserves the right to modify or cancel this offer at any time.</t>
  </si>
  <si>
    <t>Kyle Amundson</t>
  </si>
  <si>
    <t>EXTRA 20% off Best-Sellers</t>
  </si>
  <si>
    <t>Yes confirmed 1/29</t>
  </si>
  <si>
    <t>N/A</t>
  </si>
  <si>
    <t>Lucia Vento</t>
  </si>
  <si>
    <t>President's Day Sale: 25% off All*</t>
  </si>
  <si>
    <t>WKND25</t>
  </si>
  <si>
    <t>SP24_SITE_PRESSALE_WKND25</t>
  </si>
  <si>
    <t xml:space="preserve">25% off entire order with code WKND25. Valid through 2/19/2024 at 11:59PM PST. Code must be applied in cart for discount. Exclusions apply including Final Sale. Not valid with other offers or codes. Cannot be applied to previous purchases, no price adjustments. Offer does not apply to shipping or taxes. Not redeemable for gift cards, cash, or credit. Hanna Andersson reserves the right to modify or cancel this offer at any time. </t>
  </si>
  <si>
    <t>Code on Site (not auto-applied). Excluding final sale + baby bundles</t>
  </si>
  <si>
    <t>Yes confirmed 2/13/24</t>
  </si>
  <si>
    <t>VAL15</t>
  </si>
  <si>
    <t>SP24_INFLUENCERS_FEB</t>
  </si>
  <si>
    <t>Extra 15% off your purchase. Valid through 2/26/24 at 11:59 pm PST.  Discount taken with code at checkout. Cannot be combined with other offers or applied to previous purchases. Excludes Hanna-Me-Downs resale transactions. Not valid on final sale, clearance, giftcards, shipping or taxes. To redeem, enter code in the promo code box during checkout. Limit of one use per customer, can not be combined with other offers. Not redeemable for gift cards, cash, credit, or towards previous purchases. Not valid to international customers. Hanna Andersson reserves the right to modify or cancel this offer at any time.</t>
  </si>
  <si>
    <t>MARIAROBERTS</t>
  </si>
  <si>
    <t>Yes confirmed 2/28/24</t>
  </si>
  <si>
    <t>KARRIE15</t>
  </si>
  <si>
    <t>SP24_INFLUENCERS_MARCH</t>
  </si>
  <si>
    <t>Extra 15% off your purchase. Valid through 4/6/24 at 11:59 pm PST.  Discount taken with code at checkout. Cannot be combined with other offers or applied to previous purchases. Excludes Hanna-Me-Downs resale transactions. Not valid on final sale, clearance, giftcards, shipping or taxes. To redeem, enter code in the promo code box during checkout. Limit of one use per customer, can not be combined with other offers. Not redeemable for gift cards, cash, credit, or towards previous purchases. Not valid to international customers. Hanna Andersson reserves the right to modify or cancel this offer at any time.</t>
  </si>
  <si>
    <t>Yes confirmed 3/6/24</t>
  </si>
  <si>
    <t>HannaSoft Baby Bundle Inserts - 20% off New Customers</t>
  </si>
  <si>
    <t>SP24-BRANDGIFTING-BUNDLES-0308</t>
  </si>
  <si>
    <t>Yes confirmed 3/7/24</t>
  </si>
  <si>
    <t>Danesha Emanuel</t>
  </si>
  <si>
    <t>Ambassador Program: chantelle_frank</t>
  </si>
  <si>
    <t>CHANTELLE15</t>
  </si>
  <si>
    <t xml:space="preserve">Clearance and Final Sale; 1-time use per customer, not stackable </t>
  </si>
  <si>
    <t>SP2024-TC-AMBASSADOR-15OFF</t>
  </si>
  <si>
    <t>Extra 15% off your purchase. Valid through 1/6/25 at 11:59 pm PST.  Discount taken with code at checkout. Cannot be combined with other offers or applied to previous purchases.  Excludes Hanna-Me-Downs resale transactions. Not valid on final sale, clearance, giftcards, shipping or taxes. To redeem, enter code in the promo code box during checkout. Limit of one use per customer, can not be combined with other offers.  Not redeemable for gift cards, cash, credit, or towards previous purchases. Hanna Andersson reserves the right to modify or cancel this offer at any time.</t>
  </si>
  <si>
    <t>Ambassador Program: mytribeof.3</t>
  </si>
  <si>
    <t>ROCHELLE15</t>
  </si>
  <si>
    <t>Ambassador Program: rachelamyowens</t>
  </si>
  <si>
    <t>RACHEL15</t>
  </si>
  <si>
    <t>Ambassador Program: dietcokeanddiapers</t>
  </si>
  <si>
    <t>VICTORIA15</t>
  </si>
  <si>
    <t>Ambassador Program: shelbsbarlow</t>
  </si>
  <si>
    <t>BARLOW15</t>
  </si>
  <si>
    <t>Ambassador Program: lauren_loves_gifting</t>
  </si>
  <si>
    <t>LAUREN15</t>
  </si>
  <si>
    <t>Ambassador Program: alinapagura</t>
  </si>
  <si>
    <t>ALINA15</t>
  </si>
  <si>
    <t>Ambassador Program: nycmamaplus2</t>
  </si>
  <si>
    <t>MELISSA15</t>
  </si>
  <si>
    <t>Ambassador Program: twoboys.thentwins</t>
  </si>
  <si>
    <t>DANIELLE15</t>
  </si>
  <si>
    <t>Ambassador Program: anniemgoldade</t>
  </si>
  <si>
    <t>ANNIE15</t>
  </si>
  <si>
    <t>Ambassador Program: daily_dig</t>
  </si>
  <si>
    <t>JESSIE15</t>
  </si>
  <si>
    <t>Ambassador Program: mrs.lilymonroe</t>
  </si>
  <si>
    <t>LILY15</t>
  </si>
  <si>
    <t>Ambassador Program: vegangirlbawse</t>
  </si>
  <si>
    <t>PRECIOUS15</t>
  </si>
  <si>
    <t>Ambassador Program: kenzietwomack</t>
  </si>
  <si>
    <t>KENZIE15</t>
  </si>
  <si>
    <t>Ambassador Program: mrsabbys</t>
  </si>
  <si>
    <t>ABBY15</t>
  </si>
  <si>
    <t>Ambassador Program: lanaato</t>
  </si>
  <si>
    <t>LANA15</t>
  </si>
  <si>
    <t>Ambassador Program: thekirbycrew_</t>
  </si>
  <si>
    <t>KIRBY15</t>
  </si>
  <si>
    <t>Ambassador Program: kieran.and.mama</t>
  </si>
  <si>
    <t>KIERAN15</t>
  </si>
  <si>
    <t>Ambassador Program: ashleyimperfect</t>
  </si>
  <si>
    <t>ASHLEY15</t>
  </si>
  <si>
    <t>Ambassador Program: tailynnvictoria</t>
  </si>
  <si>
    <t>TAILYNN15</t>
  </si>
  <si>
    <t>Ambassador Program: santucci.family</t>
  </si>
  <si>
    <t>SANTUCCI15</t>
  </si>
  <si>
    <t>Ambassador Program: thefaustinfam</t>
  </si>
  <si>
    <t>FAUSTIN15</t>
  </si>
  <si>
    <t>Ambassador Program: babybaileymamadrama</t>
  </si>
  <si>
    <t>BAILEY15</t>
  </si>
  <si>
    <t>Ambassador Program: themdrnmama</t>
  </si>
  <si>
    <t>MAMA15</t>
  </si>
  <si>
    <t>Ambassador Program: thismindfulnest</t>
  </si>
  <si>
    <t>MINDFUL15</t>
  </si>
  <si>
    <t>Ambassador Program: dayfamilydiaries</t>
  </si>
  <si>
    <t>TAYLOR15</t>
  </si>
  <si>
    <t>Ambassador Program: kansascitykaren</t>
  </si>
  <si>
    <t>KAREN15</t>
  </si>
  <si>
    <t>Ambassador Program: eliserosebarnes</t>
  </si>
  <si>
    <t>ELISE15</t>
  </si>
  <si>
    <t>Ambassador Program: littlemissadela</t>
  </si>
  <si>
    <t>LITTLE15</t>
  </si>
  <si>
    <t>Ambassador Program: jaimiepriamo</t>
  </si>
  <si>
    <t>JAIMIE15</t>
  </si>
  <si>
    <t>Ambassador Program: natalie.anne.white</t>
  </si>
  <si>
    <t>NATALIE15</t>
  </si>
  <si>
    <t>Ambassador Program: keepingitrizza</t>
  </si>
  <si>
    <t>RIZZA15</t>
  </si>
  <si>
    <t>Ambassador Program: kellcaruso</t>
  </si>
  <si>
    <t>CARUSO15</t>
  </si>
  <si>
    <t>Ambassador Program: athomewithxin</t>
  </si>
  <si>
    <t>XIN15</t>
  </si>
  <si>
    <t>Ambassador Program: alexibjordan</t>
  </si>
  <si>
    <t>ALEXI15</t>
  </si>
  <si>
    <t>Ambassador Program: gilliangarn</t>
  </si>
  <si>
    <t>GILLIAN15</t>
  </si>
  <si>
    <t>Ambassador Program: thelovenotes</t>
  </si>
  <si>
    <t>LOVE15</t>
  </si>
  <si>
    <t>Ambassador Program: lienonme</t>
  </si>
  <si>
    <t>KRISTI15</t>
  </si>
  <si>
    <t>Ambassador Program: mamabirdchronicles</t>
  </si>
  <si>
    <t>ROBIN15</t>
  </si>
  <si>
    <t>Ambassador Program: thetwinmomdiary</t>
  </si>
  <si>
    <t>IRYNA15</t>
  </si>
  <si>
    <t>Ambassador Program: gratebrit</t>
  </si>
  <si>
    <t>GUILLORY15</t>
  </si>
  <si>
    <t>Ambassador Program: christinaemiller</t>
  </si>
  <si>
    <t>CHRISTINA15</t>
  </si>
  <si>
    <t>Ambassador Program: minidoodlebentley</t>
  </si>
  <si>
    <t>BENTLEY15</t>
  </si>
  <si>
    <t>Ambassador Program: ari_says</t>
  </si>
  <si>
    <t>ARI15</t>
  </si>
  <si>
    <t>Ambassador Program: chelseacalantoni</t>
  </si>
  <si>
    <t>CHELSEA15</t>
  </si>
  <si>
    <t>Ambassador Program: drivera_mamaliving</t>
  </si>
  <si>
    <t>RIVERA15</t>
  </si>
  <si>
    <t>"25% off Sitewide" OR "30% off Sitewide"</t>
  </si>
  <si>
    <t>GET25 or GET30</t>
  </si>
  <si>
    <t>multiple use</t>
  </si>
  <si>
    <t>Final Sale and Baby Bundles</t>
  </si>
  <si>
    <t>SP24-SITEWIDE-GET25 + SP24-SITEWIDE-GET30</t>
  </si>
  <si>
    <t>25% off entire order with code GET25. Valid through 3/25/24 at 11:59PM PST. Code must be applied in cart for discount. Not valid with other offers or codes. Exclusions apply including Final Sale and bundles. Cannot be applied to previous purchases, no price adjustments. Offer does not apply to shipping or taxes. Not redeemable for gift cards, cash, or credit. Hanna Andersson reserves the right to modify or cancel this offer at any time.</t>
  </si>
  <si>
    <t>Katie Myers</t>
  </si>
  <si>
    <t>Affiliate</t>
  </si>
  <si>
    <t>Affiliate New Customer Offer - 30% for new only, unique codes given to our top 10 affiliate partners</t>
  </si>
  <si>
    <t>EBATES30
CAPITAL30
WHALE30
FLEX30
PRODEGE30
SAVINGS30
BING30
BABY30
LTK30
GROUP30</t>
  </si>
  <si>
    <t>Exclude final sale, only applicable for new cusotmers</t>
  </si>
  <si>
    <t>SP24-AFFILIATE-30FORNEW</t>
  </si>
  <si>
    <t>30% off Your Purchase For New Customers only: Valid on a single purchase through 11:59pm PT on 4/18/2024. Apply your unique code at checkout. Offer cannot be combined with additional coupon offers. Cannot be applied to previous purchase, no price adjustments. Not valid on select items: final sale, shipping or taxes. Not redeemable for gift cards, cash, credit, or towards previous purchases. Hanna Andersson reserves the right to modify or cancel this offer at any time.</t>
  </si>
  <si>
    <t>Trevor Koons</t>
  </si>
  <si>
    <t>End of February Last-Minute Affiliate Promo - 25% off your order</t>
  </si>
  <si>
    <t>March25</t>
  </si>
  <si>
    <t>unlimited</t>
  </si>
  <si>
    <t>SP24-AFFILIATE-MARCH25</t>
  </si>
  <si>
    <t>25% off entire order. Valid through 3/11/24 at 11:59 pm PST.  Discount taken with code at checkout. Cannot be combined with other offers or applied to previous purchases.  Not valid on clearance, final sale, giftcards, shipping or taxes. To redeem, enter code in the promo code box during checkout. Cannot be combined with other codes. Not redeemable for gift cards, cash, credit, or towards previous purchases. Hanna Andersson reserves the right to modify or cancel this offer at any time.</t>
  </si>
  <si>
    <t>Yes confirmed 3/11/24 - updated 3/26 to be 20% off order - HOLD for April Contigency</t>
  </si>
  <si>
    <t>EXTRA 20% off Dresses</t>
  </si>
  <si>
    <t>SP24-EMAIL-EXTRA20DRESSES</t>
  </si>
  <si>
    <t>Extra 20% off order. Valid through 4/1/24 at 11:59 pm PST.  Discount taken with code at checkout. Cannot be combined with other offers or applied to previous purchases.  Excludes Hanna-Me-Downs resale transactions.  Not valid on clearance, final sale, giftcards, shipping or taxes. To redeem, enter code in the promo code box during checkout. Limit of one use per customer, can not be combined with other offers. Not redeemable for gift cards, cash, credit, or towards previous purchases. Hanna Andersson reserves the right to modify or cancel this offer at any time.</t>
  </si>
  <si>
    <t>Yes confirmed 3/22/24</t>
  </si>
  <si>
    <t>15% Off Entire Order: Hey Madi Nelson</t>
  </si>
  <si>
    <t>MADI15</t>
  </si>
  <si>
    <t>SP2024-TC-INFLUENCER-MADI15</t>
  </si>
  <si>
    <t>Yes confirmed 4/11/24</t>
  </si>
  <si>
    <t>Targeted Offer during Friends and Family to 0-6M Sleep and Collab Customers</t>
  </si>
  <si>
    <t>FF20</t>
  </si>
  <si>
    <t>SU2024-TC-EMAIL-FF20</t>
  </si>
  <si>
    <t>Extra 20% off Your Purchase: Valid through 11:59pm PT on 5/3/2023. Discount taken at checkout with code FF20. Exclusions apply. Offer cannot be combined with additional coupon or offers. Cannot be applied to previous purchase, no price adjustments. Not valid on select items: clearance, final sale, shipping or taxes. Not redeemable for gift cards, cash, credit, or towards previous purchases. Hanna Andersson reserves the right to modify or cancel this offer at any time.</t>
  </si>
  <si>
    <t>May the 4th Be With You: Extra 20% off Star Wars</t>
  </si>
  <si>
    <t>MT4</t>
  </si>
  <si>
    <t>Final Sale (and non-Star Wars product)</t>
  </si>
  <si>
    <t>SP2024-PEC-SITE-MT4</t>
  </si>
  <si>
    <t>20% off Star Wars. Valid one day only through 5/4/24 at 11:59PM PST. Discount taken with code at checkout. Cannot be combined with other offers or applied to previous purchases. Excludes Hanna-Me-Downs resale transactions. Not valid on final sale, giftcards, shipping or taxes. To redeem, enter code in the promo code box during checkout. Limit of one use per customer, cannot be combined with other offers. Not redeemable for gift cards, cash, credit, or towards previous purchases. Not valid to international customers. Hanna Andersson reserves the right to modify or cancel this offer at any time.</t>
  </si>
  <si>
    <t>Ambassador Program: annelourayne</t>
  </si>
  <si>
    <t>CASTRO15</t>
  </si>
  <si>
    <t>SP2024-TC-AMBASSADOR-15OFF-BATCH2</t>
  </si>
  <si>
    <t>Ambassador Program: cassiemhoffman</t>
  </si>
  <si>
    <t>HOFFMAN15</t>
  </si>
  <si>
    <t>Ambassador Program: raising.pecheks</t>
  </si>
  <si>
    <t>PECHEK15</t>
  </si>
  <si>
    <t>Ambassador Program: the.praganos</t>
  </si>
  <si>
    <t>PRAGANO15</t>
  </si>
  <si>
    <t>Ambassador Program: lenyngrace</t>
  </si>
  <si>
    <t>GRACE15</t>
  </si>
  <si>
    <t>Ambassador Program: thecurlyqmom</t>
  </si>
  <si>
    <t>CURLY15</t>
  </si>
  <si>
    <t>Ambassador Program: stephanie_massaker</t>
  </si>
  <si>
    <t>STEPHANIE15</t>
  </si>
  <si>
    <t>Ambassador Program: courtney_sherrill_</t>
  </si>
  <si>
    <t>SHERRILL15</t>
  </si>
  <si>
    <t>Ambassador Program: arybindrup</t>
  </si>
  <si>
    <t>ARY15</t>
  </si>
  <si>
    <t>Ambassador Program: brianne.lynk</t>
  </si>
  <si>
    <t>BRIANNE15</t>
  </si>
  <si>
    <t>Ambassador Program: styledbysonika</t>
  </si>
  <si>
    <t>SONIKA15</t>
  </si>
  <si>
    <t>Ambassador Program: thetiffanydavis</t>
  </si>
  <si>
    <t>TIFFANY15</t>
  </si>
  <si>
    <t>Yes confirmed 3/26/24</t>
  </si>
  <si>
    <t>15% Off Entire Order: Milestones &amp; Motherhood</t>
  </si>
  <si>
    <t>MILESTONES15</t>
  </si>
  <si>
    <t>SP2024-TC-INFLUENCER-MILESTONES15</t>
  </si>
  <si>
    <t>Extra 15% off your purchase. Valid through 4/12/24 at 11:59 pm PST.  Discount taken with code at checkout. Cannot be combined with other offers or applied to previous purchases. Excludes Hanna-Me-Downs resale transactions. Not valid on final sale, clearance, giftcards, shipping or taxes. To redeem, enter code in the promo code box during checkout. Limit of one use per customer, can not be combined with other offers. Not redeemable for gift cards, cash, credit, or towards previous purchases. Not valid to international customers. Hanna Andersson reserves the right to modify or cancel this offer at any time.</t>
  </si>
  <si>
    <t>Reload MADI15 with 100 more uses if expired from 3/26 promo</t>
  </si>
  <si>
    <t>Yes confirmed 3/27 pulled forward to 3/30-3/31</t>
  </si>
  <si>
    <t>Marty Dieterich</t>
  </si>
  <si>
    <t>Extra 20% for Loyalty</t>
  </si>
  <si>
    <t>LOYALTY20</t>
  </si>
  <si>
    <t>SP2024-TC-LOYALTY-LOYALTY20</t>
  </si>
  <si>
    <t>Extra 20% off your order with code LOYALTY20. Valid through 3/31/2024 at 11:59PM PST. Code must be entered at checkout for discount. Exclusions may apply including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</si>
  <si>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Yes, confirmed 3/26/24</t>
  </si>
  <si>
    <t>Extra 20% off Clearance</t>
  </si>
  <si>
    <t>TAKE20</t>
  </si>
  <si>
    <t>SP2024-PEC-SITE-TAKE20</t>
  </si>
  <si>
    <t>Extra 20% off Clearance with code TAKE20. Valid through 4/7/2024 at 11:59PM PST. Code must be entered at checkout for discount. Excludes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</si>
  <si>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Yes confirmed 3/27/24</t>
  </si>
  <si>
    <t>Ambassador Program: helloellie1</t>
  </si>
  <si>
    <t>LYDIA15</t>
  </si>
  <si>
    <t>SP2024-TC-AMBASSADOR-15OFF-BATCH3</t>
  </si>
  <si>
    <t>Ambassador Program: mashta_fam</t>
  </si>
  <si>
    <t>ALENA15</t>
  </si>
  <si>
    <t>Ambassador Program: middleclassmamma</t>
  </si>
  <si>
    <t>BRIDNEY15</t>
  </si>
  <si>
    <t>Ambassador Program: stampoilsmama</t>
  </si>
  <si>
    <t>CIJI15</t>
  </si>
  <si>
    <t>Ambassador Program: angielambert15</t>
  </si>
  <si>
    <t>ANGIE15</t>
  </si>
  <si>
    <t>Ambassador Program: kerry.daehn6</t>
  </si>
  <si>
    <t>KERRY15</t>
  </si>
  <si>
    <t>Ambassador Program: doreensstylediary</t>
  </si>
  <si>
    <t>DOREEN15</t>
  </si>
  <si>
    <t>Ambassador Program: lenora.tee</t>
  </si>
  <si>
    <t>LENORA15</t>
  </si>
  <si>
    <t>Ambassador Program: momlifepnw</t>
  </si>
  <si>
    <t>JEN15</t>
  </si>
  <si>
    <t>Yes confirmed 4/10/24</t>
  </si>
  <si>
    <t>Ambassador Program: jessicabmathie</t>
  </si>
  <si>
    <t>MATHIE15</t>
  </si>
  <si>
    <t>Ambassador Program: kellync</t>
  </si>
  <si>
    <t>KELLYNC15</t>
  </si>
  <si>
    <t>SP2024-TC-AMBASSADOR-15OFF-BATCH4</t>
  </si>
  <si>
    <t>Ambassador Program: our.blog.life</t>
  </si>
  <si>
    <t>JENNIFER15</t>
  </si>
  <si>
    <t>Ambassador Program: laur_diamantas</t>
  </si>
  <si>
    <t>LAUR15</t>
  </si>
  <si>
    <t>Yes confirmed 4/10/24 - starting 4/17</t>
  </si>
  <si>
    <t>Summer New Arrivals 25% off with Code</t>
  </si>
  <si>
    <t>SUMMER25</t>
  </si>
  <si>
    <t>Only applies to new summer launch product (offer list will be passed to site)</t>
  </si>
  <si>
    <t>SU2024-PEC-SITE-SUMMER25</t>
  </si>
  <si>
    <t>Extra 25% off select Summer new arrivals with code SUMMER25. Valid through 4/24/2024 at 11:59PM PST. Code must be entered at checkout for discount. Exclusions may apply. Not valid with other offers or codes. Cannot be applied to previous purchases, no price adjustments. Offer does not apply to shipping or taxes. Not redeemable for gift cards, cash, or credit. Hanna Andersson reserves the right to modify or cancel this offer at any time.</t>
  </si>
  <si>
    <t>Ambassador Program: raisingthwildboys</t>
  </si>
  <si>
    <t>BOLTAS15</t>
  </si>
  <si>
    <t>Ambassador Program: wildheartmamas</t>
  </si>
  <si>
    <t>NEEDAH15</t>
  </si>
  <si>
    <t>Ambassador Program: the.walkerfam</t>
  </si>
  <si>
    <t>WALKER15</t>
  </si>
  <si>
    <t>Ambassador Program: gizweezy</t>
  </si>
  <si>
    <t>PERRY15</t>
  </si>
  <si>
    <t>Extra 15% off your purchase. Valid through 4/16/25 at 11:59 pm PST.  Discount taken with code at checkout. Cannot be combined with other offers or applied to previous purchases.  Excludes Hanna-Me-Downs resale transactions. Not valid on final sale, clearance, giftcards, shipping or taxes. To redeem, enter code in the promo code box during checkout. Limit of one use per customer, can not be combined with other offers.  Not redeemable for gift cards, cash, credit, or towards previous purchases. Hanna Andersson reserves the right to modify or cancel this offer at any time.</t>
  </si>
  <si>
    <t>Affiliate: 30% off your order</t>
  </si>
  <si>
    <t>SPRING30</t>
  </si>
  <si>
    <t>Clearance and Final Sale; 1-time use per customer, not stackable. Bluey and baby bundles.</t>
  </si>
  <si>
    <t>SU2024-TC-AFFILIATE-SPRING30</t>
  </si>
  <si>
    <t>30% off your purchase with code SPRING30. Valid on a single purchase through 11:59pm PT on 4/16/2024. Apply code at checkout for discount. Offer cannot be combined with additional coupon offers. Cannot be applied to previous purchase, no price adjustments. Not valid on select items: clearance, final sale, shipping or taxes. Not redeemable for gift cards, cash, credit, or towards previous purchases. Hanna Andersson reserves the right to modify or cancel this offer at any time.</t>
  </si>
  <si>
    <t>Yes confirmed 4/18/24</t>
  </si>
  <si>
    <t>Elizabeth Maron</t>
  </si>
  <si>
    <t>Loyalty</t>
  </si>
  <si>
    <t>Loyalty May $10 Birthday Coupon Test</t>
  </si>
  <si>
    <t>SU2024-TC-LOYALTY-BDAY10</t>
  </si>
  <si>
    <t>$10 off entire order with unique code. Valid through 11:59pm PT on 5/31/2024.  Discount taken with code at checkout. Cannot be combined with other offers or applied to previous purchases.  Not valid on select items: Final Sale,  giftcards, shipping or taxes. To redeem, enter code in the promo code box during checkout. Limit of one offer code per order and one code per customer. Excludes Hanna-Me-Downs resale transactions. Not redeemable for gift cards, cash, credit, or towards previous purchases. Not valid in retail stores or outlets. Hanna Andersson reserves the right to modify or cancel this offer at any time.</t>
  </si>
  <si>
    <t>Yes confirmed 5/7</t>
  </si>
  <si>
    <t>Public Relations</t>
  </si>
  <si>
    <t>Parents x Bluey Feature Story: 20% off order with code</t>
  </si>
  <si>
    <t>PARENTS20</t>
  </si>
  <si>
    <t>SU2024-TC-PR-PARENTS20</t>
  </si>
  <si>
    <t>20% off with code PARENTS20. Valid through 11:59pm PT on 5/18/24. Discount taken with code at checkout. Not valid on: final sale, international orders, giftcards, shipping or taxes. Excludes Hanna-Me-Downs resale transactions. To redeem, enter code in the promo code box during checkout. Limit of one use per customer, cannot be combined with other offers. Not redeemable for gift cards, cash, credit, or towards previous purchases, no price adjustments. Hanna Andersson reserves the right to modify or cancel this offer at any time.</t>
  </si>
  <si>
    <t>Loyalty Targeted Extra 20% Off</t>
  </si>
  <si>
    <t>REWARDS20</t>
  </si>
  <si>
    <t>SU2024-TC-LOYALTY-REWARDS20</t>
  </si>
  <si>
    <t>Extra 20% off Your Purchase: Valid through 11:59pm PT on 5/3/2024. Discount taken at checkout with code REWARDS20. Offer cannot be combined with additional coupon offers. Cannot be applied to previous purchase, no price adjustments. Not valid on select items: clearance, final sale, shipping or taxes. Not redeemable for gift cards, cash, credit, or towards previous purchases. Hanna Andersson reserves the right to modify or cancel this offer at any time.</t>
  </si>
  <si>
    <t>Yes, confirmed 4/16/24</t>
  </si>
  <si>
    <t>Affiliate Exclusive Offer: 25% off your order</t>
  </si>
  <si>
    <t>EXCLUSIVE25</t>
  </si>
  <si>
    <t>SU2024-TC-AFFILIATE-EXCLUSIVE25</t>
  </si>
  <si>
    <t>25% off your order through code EXCLUSIVE25. Valid through 4/23/2024 at 11:59PM PST. Code must be entered at checkout for discount. Exclusions may apply. Not valid with other offers or codes. Cannot be applied to previous purchases, no price adjustments. Offer does not apply to shipping or taxes. Not redeemable for gift cards, cash, or credit. Hanna Andersson reserves the right to modify or cancel this offer at any time.</t>
  </si>
  <si>
    <t>CRM</t>
  </si>
  <si>
    <t>Spring Cleaning Event - Extra 20% Off Clearance &amp; Sale product</t>
  </si>
  <si>
    <t>CLEANING20</t>
  </si>
  <si>
    <t>SU2024-TC-CRM-CLEANING20</t>
  </si>
  <si>
    <t>Extra 20% off Clearance. Valid through 11:59pm PT on 4/22/2023. Discount taken at checkout with code CLEANING20. Offer cannot be combined with additional coupon offers. Cannot be applied to previous purchase, no price adjustments. Not valid on select items: final sale, shipping or taxes. Not redeemable for gift cards, cash, credit, or towards previous purchases. Hanna Andersson reserves the right to modify or cancel this offer at any time.</t>
  </si>
  <si>
    <t>Yes confirmed 5/16</t>
  </si>
  <si>
    <t>CCC Customer Appeasement Q2</t>
  </si>
  <si>
    <t>SU2024-CCC-PS-APPEASEMENT-Q2</t>
  </si>
  <si>
    <t>20% off orders $100 or more with code. Valid through 11:59pm PT on 8/24/2024.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</si>
  <si>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10% off order with code. Valid through 11:59pm PT on 8/24/2024.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</si>
  <si>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25% off entire order with code. Valid through 11:59pm PT on 8/24/2024.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</si>
  <si>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Free standard shipping is valid on orders shipped to a single U.S. address (excluding AK and HI) through 11:59 PM PST on 8/24/24. Not valid on previous orders. Hanna Andersson reserves the right to make changes to promotions at any time.</t>
  </si>
  <si>
    <t>$10 off: Valid through 11:59pm PT on 8/24/2024.  Discount taken with code at checkout. Cannot be combined with other offers or applied to previous purchases.  Not valid on select items: giftcards, 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</si>
  <si>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15% off order with code. Valid through 11:59pm PT on 8/24/2024.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</si>
  <si>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20% off Entire Order</t>
  </si>
  <si>
    <t>20% off order with code. Valid through 11:59pm PT on 8/24/2024.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</si>
  <si>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PS Customer Appeasement Q2</t>
  </si>
  <si>
    <t>Valid through 11:59pm PT on 8/24/2024.  Discount taken with code at checkout. Cannot be combined with other offers or applied to previous purchases. Not valid on select items: giftcards, 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</si>
  <si>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CCC Customer Appeasement Q3</t>
  </si>
  <si>
    <t>FA2024-CCC-PS-APPEASEMENT-Q3</t>
  </si>
  <si>
    <t>20% off orders $100 or more with code. Valid through 11:59pm PT on 11/23/2024.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</si>
  <si>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10% off order with code. Valid through 11:59pm PT on 11/23/2024.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</si>
  <si>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25% off entire order with code. Valid through 11:59pm PT on 11/23/2024.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</si>
  <si>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Free standard shipping is valid on orders shipped to a single U.S. address (excluding AK and HI) through 11:59 PM PST on 11/23/24. Not valid on previous orders. Hanna Andersson reserves the right to make changes to promotions at any time.</t>
  </si>
  <si>
    <t>$10 off: Valid through 11:59pm PT on 11/23/2024.  Discount taken with code at checkout. Cannot be combined with other offers or applied to previous purchases.  Not valid on select items: giftcards, 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</si>
  <si>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15% off order with code. Valid through 11:59pm PT on 11/23/2024.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</si>
  <si>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20% off order with code. Valid through 11:59pm PT on 11/23/2024.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</si>
  <si>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PS Customer Appeasement Q3</t>
  </si>
  <si>
    <t>Valid through 11:59pm PT on 11/23/2024.  Discount taken with code at checkout. Cannot be combined with other offers or applied to previous purchases. Not valid on select items: giftcards, 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</si>
  <si>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CCC Customer Appeasement Q4</t>
  </si>
  <si>
    <t>PS Customer Appeasement Q4</t>
  </si>
  <si>
    <t>Yes confirmed 5/21</t>
  </si>
  <si>
    <t>Jess Keys Influencer Promo - 15% Off Entire Order</t>
  </si>
  <si>
    <t>SU2024-TC-INFLUENCER-JESSKEYS</t>
  </si>
  <si>
    <t>Extra 15% off order with code. Valid through 11:59pm PT on 5/18/2024. Discount taken at checkout with code JESSKEYS. Offer cannot be combined with additional coupon offers. Cannot be applied to previous purchase, no price adjustments. Not valid on select items: final sale, clearance, shipping or taxes. Not redeemable for gift cards, cash, credit, or towards previous purchases. Hanna Andersson reserves the right to modify or cancel this offer at any time.</t>
  </si>
  <si>
    <t>Yes confirmed 5/9</t>
  </si>
  <si>
    <t>Affiliate Extra 20% Off Order | Between FF &amp; MDW Sales</t>
  </si>
  <si>
    <t>SUNNY20</t>
  </si>
  <si>
    <t>Su2024-TC-AFFILIATE-SUNNY20</t>
  </si>
  <si>
    <t>Extra 20% off Your Purchase: Valid through 11:59pm PT on 5/18/2024. Discount taken at checkout with code SUNNY20. Offer cannot be combined with additional coupon offers. Cannot be applied to previous purchase, no price adjustments. Not valid on select items: clearance, final sale, shipping or taxes. Not redeemable for gift cards, cash, credit, or towards previous purchases. Hanna Andersson reserves the right to modify or cancel this offer at any time.</t>
  </si>
  <si>
    <t>Maria Roberts Influencer Promo - 15% Off Entire Order</t>
  </si>
  <si>
    <t>SU2024-TC-INFLUENCER-MARIAROBERTS</t>
  </si>
  <si>
    <t>Extra 15% off your purchase. Valid through 5/20/24 at 11:59 pm PST.  Discount taken with code at checkout. Cannot be combined with other offers or applied to previous purchases. Excludes Hanna-Me-Downs resale transactions. Not valid on final sale, clearance, giftcards, shipping or taxes. To redeem, enter code in the promo code box during checkout. Limit of one use per customer, can not be combined with other offers. Not redeemable for gift cards, cash, credit, or towards previous purchases. Not valid to international customers. Hanna Andersson reserves the right to modify or cancel this offer at any time.</t>
  </si>
  <si>
    <t>7daysofplay Influencer Promo - 15% Off Entire Order</t>
  </si>
  <si>
    <t>7DAYSOFPLAY</t>
  </si>
  <si>
    <t>SU2024-TC-INFLUENCER-7DAYSOFPLAY</t>
  </si>
  <si>
    <t>15% off with code. Valid through 11:59pm PT on 5/20/24. Discount taken with code at checkout. Not valid on: final sale, clearance, international orders, giftcards, shipping or taxes. Excludes Hanna-Me-Downs resale transactions. To redeem, enter code in the promo code box during checkout. Limit of one use per customer, cannot be combined with other offers. Not redeemable for gift cards, cash, credit, or towards previous purchases, no price adjustments. Hanna Andersson reserves the right to modify or cancel this offer at any time.</t>
  </si>
  <si>
    <t>2 Days Only: Sale on Sale - Extra 20% off Clearance w/ Code</t>
  </si>
  <si>
    <t>SALE20</t>
  </si>
  <si>
    <t>Final Sale (this only applies to Clearance items)</t>
  </si>
  <si>
    <t>SU2024-PEC-SITE-SALE20</t>
  </si>
  <si>
    <t>Extra 20% off Clearance with code. Valid through 11:59pm PT on 5/22/2024. Discount taken at checkout with code SALE20. Offer cannot be combined with additional coupon offers or codes. Cannot be applied to previous purchase, no price adjustments. Not valid on select items: final sale, shipping or taxes. Not redeemable for gift cards, cash, credit, or towards previous purchases. Hanna Andersson reserves the right to modify or cancel this offer at any time.</t>
  </si>
  <si>
    <t>Paid Channels</t>
  </si>
  <si>
    <t>2 Days Only: 25% off new order for new customers</t>
  </si>
  <si>
    <t>MAYNEW25</t>
  </si>
  <si>
    <t>SU2024-TC-PAIDCHANNELS-MAYNEW25</t>
  </si>
  <si>
    <t>25% Off with code:  Valid through 11:59pm PT on 5/18/2024.  Discount taken with code at checkout for NEW CUSTOMERS ONLY. Cannot be combined with other offers or applied to previous purchases.  Not valid on select items: Final Sale,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</si>
  <si>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TO: Extra 15% off Order w/ Code</t>
  </si>
  <si>
    <t>15FORYOU</t>
  </si>
  <si>
    <t>SU2024-TC-EMAIL-15FORYOU</t>
  </si>
  <si>
    <t>Extra 15% off your order with code. Valid through 11:59pm PT on 5/22/2024. Discount taken at checkout with code 15FORYOU. Offer cannot be combined with additional coupon offers or codes. Cannot be applied to previous purchase, no price adjustments. Not valid on select items: Clearance, Final Sale, shipping or taxes. Not redeemable for gift cards, cash, credit, or towards previous purchases. Hanna Andersson reserves the right to modify or cancel this offer at any time.</t>
  </si>
  <si>
    <t>Yes confirmed 5/16 CANCELLED</t>
  </si>
  <si>
    <t>HannaSoft Extra 20% off (One Day Only w/ Code)</t>
  </si>
  <si>
    <t>SOFT20</t>
  </si>
  <si>
    <t>Bundles are excluded. Only valid on HannaSoft product.</t>
  </si>
  <si>
    <t>SU2024-PEC-SITE-SOFT20</t>
  </si>
  <si>
    <t>Take an extra 20% off HannaSoft with code SOFT20 for one day only. Valid through 6/10/2024 at 11:59PM PST. Code must be applied in cart. Cannot be applied to previous purchases, no price adjustments. Cannot be combined with other promotion codes. Offer does not apply to shipping or taxes. Not redeemable for gift cards, cash, or credit. Hanna Andersson reserves the right to modify or cancel this offer at any time.</t>
  </si>
  <si>
    <t>Yes confirmed 5/23</t>
  </si>
  <si>
    <t>Chloe Jones</t>
  </si>
  <si>
    <t>Affiliate Extra 20% Off Order</t>
  </si>
  <si>
    <t>FUN20</t>
  </si>
  <si>
    <t>SU2024-TC-AFFILIATE-FUN20</t>
  </si>
  <si>
    <t>20% off your purchase with code FUN20. Valid on a single purchase through 11:59pm PT on 6/10/2024. Apply code at checkout for discount. Offer cannot be combined with additional coupon offers. One use per customer. Cannot be applied to previous purchase, no price adjustments. Exclusions apply, including clearance, final sale, shipping and taxes. Not redeemable for gift cards, cash, credit, or towards previous purchases. Hanna Andersson reserves the right to modify or cancel this offer at any time.</t>
  </si>
  <si>
    <t>Yes confirmed 5/21 - CANCELLED</t>
  </si>
  <si>
    <t>Loyalty 20% Off for Closedown of Memorial Day</t>
  </si>
  <si>
    <t>SU2024-TCLOYALTY-MEMDAY</t>
  </si>
  <si>
    <t>Extra 20% off Your Purchase: Valid through 11:59pm PT on 5/27/2024. Discount taken at checkout with code. Offer cannot be combined with additional coupon offers. Cannot be applied to previous purchase, no price adjustments. Not valid on select items: clearance, final sale, shipping or taxes. Not redeemable for gift cards, cash, credit, or towards previous purchases. Hanna Andersson reserves the right to modify or cancel this offer at any time.</t>
  </si>
  <si>
    <t>Yes confirmed 5/24</t>
  </si>
  <si>
    <r>
      <rPr>
        <sz val="11"/>
        <color rgb="FF000000"/>
        <rFont val="Calibri"/>
        <family val="2"/>
        <scheme val="minor"/>
      </rPr>
      <t xml:space="preserve">20% off Welcome offer to new opt-ins (Wunderkind replenishment)
</t>
    </r>
    <r>
      <rPr>
        <sz val="11"/>
        <color rgb="FFFF0000"/>
        <rFont val="Calibri"/>
        <family val="2"/>
        <scheme val="minor"/>
      </rPr>
      <t>SHOULD MIRROR THE EXACT SET UP AS CURRENT VERSION: SP24_EMAIL_WELCOME20</t>
    </r>
  </si>
  <si>
    <t>SU2024-WELCOME20-ABANDONCART20</t>
  </si>
  <si>
    <t>Wunderkind has requested a coupon bank replenishment (in CSV form) ASAP.</t>
  </si>
  <si>
    <r>
      <rPr>
        <sz val="11"/>
        <color rgb="FF000000"/>
        <rFont val="Calibri"/>
        <family val="2"/>
        <scheme val="minor"/>
      </rPr>
      <t xml:space="preserve">20% off Abandon Cart for customers in WK emails (3-5) (Wunderkind replenishment)
</t>
    </r>
    <r>
      <rPr>
        <sz val="11"/>
        <color rgb="FFFF0000"/>
        <rFont val="Calibri"/>
        <family val="2"/>
        <scheme val="minor"/>
      </rPr>
      <t>SHOULD MIRROR THE EXACT SET UP AS CURRENT VERSION: HO22-email-abandoned-cart</t>
    </r>
  </si>
  <si>
    <t xml:space="preserve">Final Sale, Sitewide sale, Clearance </t>
  </si>
  <si>
    <t>Cannot find original request but should mirror the set up of current set: HO22-email-abandoned-cart
 Wunderkind has requested a coupon bank replenishment (in CSV form) ASAP.</t>
  </si>
  <si>
    <t>Yes confirmed 5/30 - Extra 15% off</t>
  </si>
  <si>
    <r>
      <rPr>
        <sz val="11"/>
        <color rgb="FF000000"/>
        <rFont val="Calibri"/>
        <family val="2"/>
        <scheme val="minor"/>
      </rPr>
      <t>Extra 15%</t>
    </r>
    <r>
      <rPr>
        <strike/>
        <sz val="11"/>
        <color rgb="FF000000"/>
        <rFont val="Calibri"/>
        <family val="2"/>
        <scheme val="minor"/>
      </rPr>
      <t>/20%</t>
    </r>
    <r>
      <rPr>
        <sz val="11"/>
        <color rgb="FF000000"/>
        <rFont val="Calibri"/>
        <family val="2"/>
        <scheme val="minor"/>
      </rPr>
      <t xml:space="preserve"> off entire order (Contigency)</t>
    </r>
  </si>
  <si>
    <r>
      <rPr>
        <sz val="11"/>
        <color rgb="FF000000"/>
        <rFont val="Calibri"/>
        <family val="2"/>
        <scheme val="minor"/>
      </rPr>
      <t>YAY15/</t>
    </r>
    <r>
      <rPr>
        <strike/>
        <sz val="11"/>
        <color rgb="FF000000"/>
        <rFont val="Calibri"/>
        <family val="2"/>
        <scheme val="minor"/>
      </rPr>
      <t>YAY20</t>
    </r>
  </si>
  <si>
    <t>Clearance and Final Sale, Bluey, Baby Bundles</t>
  </si>
  <si>
    <t>SU2024-TC-ALLTARGETED-YAY15</t>
  </si>
  <si>
    <t>15% off your order with code YAY15. Valid through 6/9/2024 at 11:59PM PST. Code must be entered at checkout for discount. Exclusions may apply including Clearance, Final Sale, Bundles, and Bluey. Not valid with other offers or codes. Cannot be applied to previous purchases, no price adjustments. Offer does not apply to shipping or taxes. Not redeemable for gift cards, cash, or credit. Hanna Andersson reserves the right to modify or cancel this offer at any time.</t>
  </si>
  <si>
    <t>Yes confirmed 5/30</t>
  </si>
  <si>
    <t>Direct Mail</t>
  </si>
  <si>
    <t>20% off your Order (New Customers)</t>
  </si>
  <si>
    <t>SU2024-TC-DIRECTMAIL-20OFFNEW</t>
  </si>
  <si>
    <t>20% off your order with your unique code for new customers only. Valid through 8/24/2024 at 11:59PM PST. Code must be entered at checkout for discount. Exclusions may apply including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</si>
  <si>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20% off your Order (Existing Customers)</t>
  </si>
  <si>
    <t>SU2024-TC-DIRECTMAIL-20OFFEXISTING</t>
  </si>
  <si>
    <t>20% off your order with your unique code. Valid through 8/24/2024 at 11:59PM PST. Code must be entered at checkout for discount. Exclusions may apply including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</si>
  <si>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15% off your Order (Existing Customers)</t>
  </si>
  <si>
    <t>SU2024-TC-DIRECTMAIL-15OFFEXISTING</t>
  </si>
  <si>
    <t>15% off your order with your unique code. Valid through 8/24/2024 at 11:59PM PST. Code must be entered at checkout for discount. Exclusions may apply including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</si>
  <si>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Cancelled</t>
  </si>
  <si>
    <t>Email/SMS</t>
  </si>
  <si>
    <t>Extra 20% order for Loyalty Members (Contigency)</t>
  </si>
  <si>
    <t>VIP20</t>
  </si>
  <si>
    <t>Yes confirmed 6/7</t>
  </si>
  <si>
    <t>BONUS20</t>
  </si>
  <si>
    <t>SU2024-PEC-SITE-BONUS20</t>
  </si>
  <si>
    <t>Extra 20% off Clearance with code BONUS20 . Valid through 7/7/2024 at 11:59PM PST. Code must be applied in cart. Cannot be applied to previous purchases, no price adjustments. Cannot be combined with other promotion codes. Exclusions may apply incluidng Final Sale. Offer does not apply to shipping or taxes. Not redeemable for gift cards, cash, or credit. Hanna Andersson reserves the right to modify or cancel this offer at any time.</t>
  </si>
  <si>
    <t>Yes confirmed 6/13</t>
  </si>
  <si>
    <t>Affiliate Extra 15% off order (new customers only)</t>
  </si>
  <si>
    <t>NEW15</t>
  </si>
  <si>
    <t>SU2024-TC-AFFILIATE-NEW15</t>
  </si>
  <si>
    <t>15% off your first purchase with code NEW15. Valid on a single purchase through 11:59pm PT on 6/25/2024. Apply code at checkout for discount. Offer cannot be combined with additional coupon offers. One use per customer. Cannot be applied to previous purchases, no price adjustments. Exclusions apply, including Clearance, Final Sale, shipping and taxes. Not redeemable for gift cards, cash, credit, or towards previous purchases. Hanna Andersson reserves the right to modify or cancel this offer at any time.</t>
  </si>
  <si>
    <t>Extra 15% order for Loyalty Members (Contingency)</t>
  </si>
  <si>
    <t>VIP15</t>
  </si>
  <si>
    <t>SU2024-TC-EMAIL-VIP15</t>
  </si>
  <si>
    <t>15% off your order with code VIP15. Valid through 6/16/2024 at 11:59PM PST. Code must be entered at checkout for discount. Exclusions may apply including Clearance, Final Sale, Bundles, and Bluey. Not valid with other offers or codes. Cannot be applied to previous purchases, no price adjustments. Offer does not apply to shipping or taxes. Not redeemable for gift cards, cash, or credit. Hanna Andersson reserves the right to modify or cancel this offer at any time.</t>
  </si>
  <si>
    <t>Yes confirmed 6/10</t>
  </si>
  <si>
    <t>Ambassador Program: alenichols_</t>
  </si>
  <si>
    <t>ALE15</t>
  </si>
  <si>
    <t xml:space="preserve">Clearance &amp; Final Sale </t>
  </si>
  <si>
    <t>SU2024-TC-INFLUENCER-ALE15</t>
  </si>
  <si>
    <t>Extra 15% off order. Valid through 11:59pm PT on 6/20/2024. Discount taken at checkout with code ALE15. Offer cannot be combined with additional coupon offers. Cannot be applied to previous purchase, no price adjustments. Not valid on select items: Final Sale, Clearance, shipping or taxes. Not redeemable for gift cards, cash, credit, or towards previous purchases. Hanna Andersson reserves the right to modify or cancel this offer at any time.</t>
  </si>
  <si>
    <t>Yes confirmed 7/3</t>
  </si>
  <si>
    <t>Extra 15% order for final day of Hanna Sale (Contingency)</t>
  </si>
  <si>
    <t>EXTRA15</t>
  </si>
  <si>
    <t xml:space="preserve">Final Sale </t>
  </si>
  <si>
    <t>FA23-site-extra15-btsapparel</t>
  </si>
  <si>
    <t>Extra 15% off Your Purchase:  Apply code EXTRA15 at checkout. Valid on a single purchase through 11:59pm PT on 7/9/2024. Offer cannot be combined with other promotion codes and offers. Cannot be applied to previous purchase, no price adjustments. Not valid on select items: shipping or taxes. Exclusions may apply. Not redeemable for gift cards, cash, credit, or towards previous purchases. Hanna Andersson reserves the right to modify or cancel this offer at any time.</t>
  </si>
  <si>
    <t>Yes confirmed 7/11</t>
  </si>
  <si>
    <t>Affiliate Targeted offer extra 15% off (Sleep product only)</t>
  </si>
  <si>
    <t>SLEEP15</t>
  </si>
  <si>
    <t>Sleep products only. Excludes Bluey and Bundles</t>
  </si>
  <si>
    <t>SU2024-TC-AFFILIATE-SLEEP15</t>
  </si>
  <si>
    <t>Extra 15% off Sleepwear with code SLEEP15 at checkout. Valid on a single purchase through 11:59pm PT on 7/18/2024. Offer cannot be combined with other promotion codes and offers. Cannot be applied to previous purchase, no price adjustments. Not valid on select items: shipping or taxes. Exclusions apply including Bluey and Baby Bundles. Not redeemable for gift cards, cash, credit, or towards previous purchases. Hanna Andersson reserves the right to modify or cancel this offer at any time.</t>
  </si>
  <si>
    <t>Yes confirmed 6/27</t>
  </si>
  <si>
    <t>Hanna Flash Sale: 25% off Sitewide</t>
  </si>
  <si>
    <t>FLASH25</t>
  </si>
  <si>
    <t>Clearance, Final Sale, Bundles</t>
  </si>
  <si>
    <t>FA2024-PEC-SITE-FLASH25</t>
  </si>
  <si>
    <r>
      <rPr>
        <sz val="11"/>
        <color rgb="FF000000"/>
        <rFont val="Calibri"/>
        <family val="2"/>
      </rPr>
      <t xml:space="preserve">Hanna Flash Sale: 25% off sitewide* with code FLASH25 at checkout. Valid through 11:59pm PT on 7/29/2024. Offer cannot be combined with other promotion codes and offers. Cannot be applied to previous purchases, no price adjustments. </t>
    </r>
    <r>
      <rPr>
        <sz val="11"/>
        <color rgb="FFFF0000"/>
        <rFont val="Calibri"/>
        <family val="2"/>
      </rPr>
      <t xml:space="preserve">Exclusions apply including Clearance,  Final Sale, and Baby Bundles. </t>
    </r>
    <r>
      <rPr>
        <sz val="11"/>
        <color rgb="FF000000"/>
        <rFont val="Calibri"/>
        <family val="2"/>
      </rPr>
      <t>Not valid on shipping or taxes. Not redeemable for gift cards, cash, credit, or towards previous purchases. Hanna Andersson reserves the right to modify or cancel this offer at any time.</t>
    </r>
  </si>
  <si>
    <t>Yes confirmed 7/26</t>
  </si>
  <si>
    <t>Ambassador Program: thefoxsaystwins</t>
  </si>
  <si>
    <t>FOX15</t>
  </si>
  <si>
    <t>FA2024-TC-INFLUENCER-FOX15</t>
  </si>
  <si>
    <t>Extra 15% off your purchase. Valid through 8/7/24 at 11:59 pm PST.  Discount taken with code at checkout. Cannot be combined with other offers or applied to previous purchases. Excludes Hanna-Me-Downs resale transactions. Not valid on final sale, clearance, giftcards, shipping or taxes. To redeem, enter code in the promo code box during checkout. Limit of one use per customer, can not be combined with other offers. Not redeemable for gift cards, cash, credit, or towards previous purchases. Not valid to international customers. Hanna Andersson reserves the right to modify or cancel this offer at any time.</t>
  </si>
  <si>
    <t>Yes confirmed 7/15</t>
  </si>
  <si>
    <t>Extra 20% off for Loyalty</t>
  </si>
  <si>
    <t>MEMBER20</t>
  </si>
  <si>
    <t>Clearance &amp; Final Sale, Baby Bundles</t>
  </si>
  <si>
    <t>FA2024-TC-EMAIL-MEMBER20</t>
  </si>
  <si>
    <t>Loyalty Members take 20% off your order with code MEMBER20. Valid for one day only through 11:59pm PT on 7/17/2024. Discount taken at checkout with code MEMBER20. Offer cannot be combined with additional coupon offers or codes. Cannot be applied to previous purchase, no price adjustments. Not valid on select items: Clearance, Final Sale, Baby Bundles, shipping or taxes. Not redeemable for gift cards, cash, credit, or towards previous purchases. Hanna Andersson reserves the right to modify or cancel this offer at any time.</t>
  </si>
  <si>
    <t>Yes confirmed 7.16</t>
  </si>
  <si>
    <t>15% off your first purchase with code NEW15. Valid on a single purchase through 11:59pm PT on 7/25/2024. Apply code at checkout for discount. Offer cannot be combined with additional coupon offers. One use per customer. Cannot be applied to previous purchases, no price adjustments. Exclusions apply, including Clearance, Final Sale, Baby Bundles, shipping and taxes. Not redeemable for gift cards, cash, credit, or towards previous purchases. Hanna Andersson reserves the right to modify or cancel this offer at any time.</t>
  </si>
  <si>
    <t>QUICK20</t>
  </si>
  <si>
    <t>FA2024-TC-EMAIL-QUICK20</t>
  </si>
  <si>
    <t>Extra 20% off Clearance with code QUICK20. Valid through 11:59pm PT on 7/21/2024. Discount taken at checkout with code QUICK20. Offer cannot be combined with additional coupon offers or codes. Cannot be applied to previous purchase, no price adjustments. Not valid on select items: final sale, shipping or taxes. Not redeemable for gift cards, cash, credit, or towards previous purchases. Hanna Andersson reserves the right to modify or cancel this offer at any time.</t>
  </si>
  <si>
    <t>Shannon McShane-Robbins</t>
  </si>
  <si>
    <t>Brand Marketing</t>
  </si>
  <si>
    <t>20% off your order</t>
  </si>
  <si>
    <t>20HANNA</t>
  </si>
  <si>
    <t>No </t>
  </si>
  <si>
    <r>
      <rPr>
        <sz val="11"/>
        <color rgb="FF000000"/>
        <rFont val="Calibri"/>
        <family val="2"/>
        <scheme val="minor"/>
      </rPr>
      <t xml:space="preserve">Clearance and Final Sale; 1-time use per customer, not stackable, </t>
    </r>
    <r>
      <rPr>
        <b/>
        <sz val="11"/>
        <color rgb="FFFF0000"/>
        <rFont val="Calibri"/>
        <family val="2"/>
        <scheme val="minor"/>
      </rPr>
      <t>1st time purchaser only</t>
    </r>
  </si>
  <si>
    <t>FA2024-TC-BRANDMARKETING-20HANNA</t>
  </si>
  <si>
    <t>Extra 20% off your online order with code 20HANNA for your first order only. Valid through 11:59pm PT on 9/10/2024. Discount taken at checkout with code 20HANNA. One use per customer. Offer cannot be combined with additional coupon offers or codes. Cannot be applied to previous purchase, no price adjustments. Not valid on select items: Clearance, Final Sale, shipping or taxes. Not redeemable for gift cards, cash, credit, or towards previous purchases. Hanna Andersson reserves the right to modify or cancel this offer at any time.</t>
  </si>
  <si>
    <t>This code will be printed on a handout and shared at Baggu X Hanna launch event at The Yo Store on 8/10</t>
  </si>
  <si>
    <t>Yes confirmed 7/30</t>
  </si>
  <si>
    <t>Extra 20% off Order</t>
  </si>
  <si>
    <t>HURRY20</t>
  </si>
  <si>
    <t>FA2024-TC-EMAIL-HURRY20</t>
  </si>
  <si>
    <t>Extra 20% off order with code HURRY20. Valid through 11:59pm PT on 8/11/2024.  Discount taken with code HURRY20 at checkout. Cannot be applied to previous purchases. Exclusions apply including Clearance and Final Sale. Not valid on giftcards, shipping, taxes or international orders. Limit of one promo code per order, cannot be combined with other offer codes. Not redeemable for gift cards, cash, credit, or towards previous purchases. Hanna Andersson reserves the right to modify or cancel this offer at any time.</t>
  </si>
  <si>
    <t>20% Off  your order of $125+ (New Customers)</t>
  </si>
  <si>
    <t>NEW20</t>
  </si>
  <si>
    <t>Clearance and Final Sale; 1-time use per customer, not stackable</t>
  </si>
  <si>
    <t>SP23-pd-srch-new-20</t>
  </si>
  <si>
    <t>Extra 20% off your purchase of $125 or more for new customers only. Valid through 8/23/24 at 11:59 pm PST. Discount taken with code at checkout on qualifying orders. Cannot be combined with other offers or applied to previous purchases. Excludes Hanna-Me-Downs resale transactions. Not valid on final sale, clearance, giftcards, shipping or taxes.To redeem, enter code in the promo code box during checkout. Limit of one use per customer, can not be combined with other codes or Hanna Rewards. Not redeemable for gift cards, cash, credit, or towards previous purchases. Hanna Andersson reserves the right to modify or cancel this offer at any time. First purchase only.</t>
  </si>
  <si>
    <t>Yes confirmed 8/6</t>
  </si>
  <si>
    <t>20 vendor promo codes for 20% off order</t>
  </si>
  <si>
    <t>FA2024-TC-BRANDMARKETING-VENDORCODES</t>
  </si>
  <si>
    <t>20% off order with code. Valid through 11:59pm PT on 12/16/2024.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</si>
  <si>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IN QA</t>
  </si>
  <si>
    <t>Yes confirmed 8/13</t>
  </si>
  <si>
    <t>15% off all orders (Rakuten Exclusive)</t>
  </si>
  <si>
    <t>RAKUTEN15</t>
  </si>
  <si>
    <t>Clearance and Final Sale; not stackable</t>
  </si>
  <si>
    <t>FA2024-TC-AFFILIATE-RAKUTEN15</t>
  </si>
  <si>
    <t>Extra 15% off your order with code RAKUTEN15. Valid through 11:59pm PT on 8/18/2024. Discount taken at checkout with code RAKUTEN15. Offer cannot be combined with additional coupon offers or codes. Cannot be applied to previous purchase, no price adjustments. Not valid on select items: Clearance, Final Sale, shipping or taxes. Not redeemable for gift cards, cash, credit, or towards previous purchases. Hanna Andersson reserves the right to modify or cancel this offer at any time.</t>
  </si>
  <si>
    <t>Yes, confirmed 8/13</t>
  </si>
  <si>
    <t>Extra 15% Off for Loyalty (new SMS sign ups)</t>
  </si>
  <si>
    <t>BCXPG8HCSMS</t>
  </si>
  <si>
    <t>FA2024-TC-EMAIL-NEWSMS-BCXPG8HCSMS</t>
  </si>
  <si>
    <t>Extra 15% off your order with code BCXPG8HCSMS. Valid through 11:59pm PT on 8/21/2024. One use per customer. Discount taken at checkout with code BCXPG8HCSMS. Offer cannot be combined with additional coupon offers or codes. Cannot be applied to previous purchase, no price adjustments. Not valid on select items: Clearance, Final Sale, Baby Bundles, shipping or taxes. Not redeemable for gift cards, cash, credit, or towards previous purchases. Hanna Andersson reserves the right to modify or cancel this offer at any time.</t>
  </si>
  <si>
    <t>cancelled</t>
  </si>
  <si>
    <t>Extra 30% Off Clearance</t>
  </si>
  <si>
    <t>DEAL30</t>
  </si>
  <si>
    <t>Extra 20% Off Clearance</t>
  </si>
  <si>
    <t>DEAL20</t>
  </si>
  <si>
    <t>FA2024-TC-AFFILIATE-DEAL20</t>
  </si>
  <si>
    <t>Extra 20% off Clearance with code DEAL20. Valid through 11:59pm PT on 8/28/2024. Discount taken at checkout with code DEAL20 on qualifying products. Offer cannot be combined with additional coupon offers or codes. Cannot be applied to previous purchases, no price adjustments. Not valid on Final Sale, shipping or taxes. Not redeemable for gift cards, cash, credit, or towards previous purchases. Hanna Andersson reserves the right to modify or cancel this offer at any time.</t>
  </si>
  <si>
    <t xml:space="preserve">Extra 20% off Clearance </t>
  </si>
  <si>
    <t>SAVEMORE20</t>
  </si>
  <si>
    <t>FA2024-TC-EMAIL-SAVEMORE20</t>
  </si>
  <si>
    <t>Extra 20% off Clearance with code SAVEMORE20. Valid through 11:59pm PT on 8/28/2024. Discount taken at checkout with code SAVEMORE20. Offer cannot be combined with additional coupon offers or codes. Cannot be applied to previous purchase, no price adjustments. Not valid on select items: final sale, shipping or taxes. Not redeemable for gift cards, cash, credit, or towards previous purchases. Hanna Andersson reserves the right to modify or cancel this offer at any time.</t>
  </si>
  <si>
    <t>Ask is to have this gated ot loyalty members for the first day (8/26) and then ungated for 8/27-8/28</t>
  </si>
  <si>
    <t>Extra 15% off Order</t>
  </si>
  <si>
    <t>LDW15</t>
  </si>
  <si>
    <t>FA2024-TC-EMAIL-LDW15</t>
  </si>
  <si>
    <t>Extra 15% off your order with code LDW15. Valid through 11:59pm PT on 8/30/2024. Discount taken at checkout with code LDW15. Offer cannot be combined with additional coupon offers or codes. Cannot be applied to previous purchase, no price adjustments. Not valid on select items: Final Sale, Baby Bundles, shipping or taxes. Not redeemable for gift cards, cash, credit, or towards previous purchases. Hanna Andersson reserves the right to modify or cancel this offer at any time.</t>
  </si>
  <si>
    <t>CONTINGENCY: Extra 20% off Order</t>
  </si>
  <si>
    <t>LDW20</t>
  </si>
  <si>
    <t>FA2024-TC-EMAIL-LDW20</t>
  </si>
  <si>
    <t>Extra 20% off your order with code LDW20. Valid through 11:59pm PT on 9/2/2024. Discount taken at checkout with code LDW20. Offer cannot be combined with additional coupon offers or codes. Cannot be applied to previous purchase, no price adjustments. Not valid on select items: Final Sale, Baby Bundles, shipping or taxes. Not redeemable for gift cards, cash, credit, or towards previous purchases. Hanna Andersson reserves the right to modify or cancel this offer at any time.</t>
  </si>
  <si>
    <t>15% off $125+</t>
  </si>
  <si>
    <t>ENJOY15</t>
  </si>
  <si>
    <t>Clearance &amp; Final Sale</t>
  </si>
  <si>
    <t>FA2024-TC-AFFILIATE-ENJOY15</t>
  </si>
  <si>
    <t>Extra 15% off your purchase of $125 or more. Valid through 9/10/24 at 11:59 pm PST. Discount taken with code at checkout on qualifying orders. Cannot be combined with other offers or applied to previous purchases. Excludes Hanna-Me-Downs resale transactions. Not valid on final sale, clearance, giftcards, shipping or taxes. To redeem, enter code in the promo code box during checkout. Can not be combined with other codes. Not redeemable for gift cards, cash, credit, or towards previous purchases. Hanna Andersson reserves the right to modify or cancel this offer at any time.</t>
  </si>
  <si>
    <t>Yes confirmed 8/27</t>
  </si>
  <si>
    <t>Affiliate Targeted Offer: Extra 15% off (Baby Category Only)</t>
  </si>
  <si>
    <t>BABY15</t>
  </si>
  <si>
    <t>Include Baby products only.</t>
  </si>
  <si>
    <t>HOL24-TC-AFFILIATE-BABY15</t>
  </si>
  <si>
    <t>15% off Baby with code BABY15. Valid through 11:59pm PT on 10/5/2024. Discount taken at checkout with code BABY15. Offer cannot be combined with additional coupon offers or codes. Cannot be applied to previous purchase, no price adjustments. Not valid on select items: Final Sale, Baby Bundles, shipping or taxes. Not redeemable for gift cards, cash, credit, or towards previous purchases. Hanna Andersson reserves the right to modify or cancel this offer at any time.</t>
  </si>
  <si>
    <t>Affiliate Targeted Offer: Extra 15% off (Adult Category Only)</t>
  </si>
  <si>
    <t>ADULT15</t>
  </si>
  <si>
    <t>Include Adult products only.</t>
  </si>
  <si>
    <t>HOL24-TC-AFFILIATE-ADULT15</t>
  </si>
  <si>
    <t>15% off Adult with code ADULT15. Valid through 11:59pm PT on 10/5/2024. Discount taken at checkout with code ADULT15. Offer cannot be combined with additional coupon offers or codes. Cannot be applied to previous purchase, no price adjustments. Not valid on select items: Final Sale, shipping or taxes. Not redeemable for gift cards, cash, credit, or towards previous purchases. Hanna Andersson reserves the right to modify or cancel this offer at any time.</t>
  </si>
  <si>
    <t>FA2024-TC-DIRECTMAIL-20OFF-NEW</t>
  </si>
  <si>
    <t>20% off your order with your unique code for first time customers only. Valid through 11/10/2024 at 11:59PM PST. Unique code must be entered at checkout for discount. Exclusions include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</si>
  <si>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FA2024-TC-DIRECTMAIL-20OFF-EXISTING</t>
  </si>
  <si>
    <t>20% off your order with your unique code. Valid through 11/10/2024 at 11:59PM PST. Unique code must be entered at checkout for discount. Exclusions include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</si>
  <si>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FA2024-TC-DIRECTMAIL-15OFF-EXISTING</t>
  </si>
  <si>
    <t>15% off your order with your unique code. Valid through 11/10/2024 at 11:59PM PST. Unique code must be entered at checkout for discount. Exclusions include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</si>
  <si>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Affiliate Targeted Offer: 20% off $150+ (New Customers)</t>
  </si>
  <si>
    <t>HELLO20</t>
  </si>
  <si>
    <t>FA2024-TC-AFFILIATE-HELLO20</t>
  </si>
  <si>
    <t>Extra 20% off your purchase of $150 or more. Valid through 9/27/24 at 11:59 pm PST. Discount taken with code at checkout on qualifying orders. Cannot be combined with other offers or applied to previous purchases. Excludes Hanna-Me-Downs resale transactions. Not valid on Final Sale, Clearance, giftcards, shipping or taxes. To redeem, enter code in the promo code box during checkout. Can not be combined with other codes. Not redeemable for gift cards, cash, credit, or towards previous purchases. Hanna Andersson reserves the right to modify or cancel this offer at any time.</t>
  </si>
  <si>
    <t>Yes confirmed 9/10</t>
  </si>
  <si>
    <t>HOL2024-TC-DIRECTMAIL-20OFFNEW</t>
  </si>
  <si>
    <t>20% off your order with your unique code for first time customers only. Valid through 12/10/2024 at 11:59PM PST. Unique code must be entered at checkout for discount. Exclusions include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</si>
  <si>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HOL2024-TC-DIRECTMAIL-20OFFEXISTING</t>
  </si>
  <si>
    <t>20% off your order with your unique code. Valid through 12/10/2024 at 11:59PM PST. Unique code must be entered at checkout for discount. Exclusions include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</si>
  <si>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HOL2024-TC-DIRECTMAIL-15OFFEXISTING</t>
  </si>
  <si>
    <t>15% off your order with your unique code. Valid through 12/10/2024 at 11:59PM PST. Unique code must be entered at checkout for discount. Exclusions include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</si>
  <si>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 xml:space="preserve"> Final Sale; 1-time use per customer, not stackable </t>
  </si>
  <si>
    <t>FA2024-TC-EMAIL-20OFFORDER</t>
  </si>
  <si>
    <t>Extra 20% off your order with unique code. Valid through 9/15/24 at 11:59 pm PST. Discount taken with code at checkout with code. Cannot be combined with other offers or applied to previous purchases. Excludes Hanna-Me-Downs resale transactions. Not valid on final sale, giftcards, shipping or taxes. To redeem, enter code in the promo code box during checkout. Limit of one use per customer, can not be combined with other codes or Hanna Rewards. Not redeemable for gift cards, cash, credit, or towards previous purchases. Hanna Andersson reserves the right to modify or cancel this offer at any time. First purchase only.</t>
  </si>
  <si>
    <t>FA2024-TC-BRANDMARKETING-20OFF</t>
  </si>
  <si>
    <t>Extra 20% off your order with unique code. Valid through 11:59pm PT on 1/30/2025. Discount taken at checkout with your unique code. Offer cannot be combined with additional coupon offers or codes. Cannot be applied to previous purchase, no price adjustments. Not valid on select items: Clearance, Final Sale, shipping or taxes. Not redeemable for gift cards, cash, credit, or towards previous purchases. Hanna Andersson reserves the right to modify or cancel this offer at any time.</t>
  </si>
  <si>
    <t>Yes confirmed 9/17</t>
  </si>
  <si>
    <t>15% off $125+ (Rakuten Exclusive)</t>
  </si>
  <si>
    <t>RAK15</t>
  </si>
  <si>
    <t>HOL2024-TC-AFFILIATE-RAK15</t>
  </si>
  <si>
    <t>Extra 15% off your purchase of $125 or more. Valid through 9/23/24 at 11:59 pm PST. Discount taken with code at checkout on qualifying orders. Cannot be combined with other offers or applied to previous purchases. Excludes Hanna-Me-Downs resale transactions. Not valid on Final Sale, Clearance, giftcards, shipping or taxes. To redeem, enter code in the promo code box during checkout. Can not be combined with other codes. Not redeemable for gift cards, cash, credit, or towards previous purchases. Hanna Andersson reserves the right to modify or cancel this offer at any time.</t>
  </si>
  <si>
    <t>Extra 15% off Clearance</t>
  </si>
  <si>
    <t>TAKE15</t>
  </si>
  <si>
    <t>FA2024-PEC-SITE-TAKE15</t>
  </si>
  <si>
    <t>Extra 15% off Clearance with code TAKE15. Valid through 11:59pm PT on 9/22/2024. Discount taken at checkout with code TAKE15 on qualifying products. Offer cannot be combined with additional coupon offers or codes. Cannot be applied to previous purchases, no price adjustments. Not valid on Final Sale, shipping or taxes. Not redeemable for gift cards, cash, credit, or towards previous purchases. Hanna Andersson reserves the right to modify or cancel this offer at any time.</t>
  </si>
  <si>
    <t>Yes confirmed 9/24</t>
  </si>
  <si>
    <t>15% off your order with Halloween product</t>
  </si>
  <si>
    <t>HOL2024-TC-EMAIL-15OFFHALLOWEEN</t>
  </si>
  <si>
    <t>Extra 15% off order with Halloween product. Valid through 11:59pm PT on 10/2/2024. Discount taken at checkout with unique code. Offer cannot be combined with additional coupon offers or codes. Cannot be applied to previous purchase, no price adjustments. Not valid on select items: final sale, shipping or taxes. Not redeemable for gift cards, cash, credit, or towards previous purchases. Hanna Andersson reserves the right to modify or cancel this offer at any tim</t>
  </si>
  <si>
    <t>Yes confirmed 10/1</t>
  </si>
  <si>
    <t xml:space="preserve">Loyalty </t>
  </si>
  <si>
    <t>October Birthday TG1 $10 Off Your Purchase of $50+</t>
  </si>
  <si>
    <t>HOL24-TC-LOYALTY-OCTBDAY-10OFF50</t>
  </si>
  <si>
    <t>$10 off your order of $50 or more with unique code. Valid through 11:59pm PT on 10/31/2024.  Discount taken with code at checkout. Cannot be combined with other offers or applied to previous purchases.  Not valid on select items: Clearance and Final Sale, giftcards, shipping or taxes. To redeem, enter code in the promo code box during checkout. Limit of one offer code per order and one code per customer. Excludes Hanna-Me-Downs resale transactions. Not redeemable for gift cards, cash, credit, or towards previous purchases. Not valid in retail stores or outlets. Hanna Andersson reserves the right to modify or cancel this offer at any time.</t>
  </si>
  <si>
    <t>October Birthday TG2 $10 Off Your Purchase</t>
  </si>
  <si>
    <t>HOL24-TC-LOYALTY-OCTBDAY-10OFF</t>
  </si>
  <si>
    <t>$10 off your order with unique code. Valid through 11:59pm PT on 10/31/2024.  Discount taken with code at checkout. Cannot be combined with other offers or applied to previous purchases.  Not valid on select items: Clearance and Final Sale, giftcards, shipping or taxes. To redeem, enter code in the promo code box during checkout. Limit of one offer code per order and one code per customer. Excludes Hanna-Me-Downs resale transactions. Not redeemable for gift cards, cash, credit, or towards previous purchases. Not valid in retail stores or outlets. Hanna Andersson reserves the right to modify or cancel this offer at any time.</t>
  </si>
  <si>
    <t xml:space="preserve">Extra 15% off Clearance </t>
  </si>
  <si>
    <t>SAVEMORE15</t>
  </si>
  <si>
    <t>HOL2024-TC-EMAIL-SAVEMORE15</t>
  </si>
  <si>
    <t>Extra 15% off Clearance with code SAVEMORE15. Valid through 11:59pm PT on 10/12/2024. Discount taken at checkout with code SAVEMORE15 on qualifying products. Offer cannot be combined with additional coupon offers or codes. Cannot be applied to previous purchases, no price adjustments. Not valid on Final Sale, shipping or taxes. Not redeemable for gift cards, cash, credit, or towards previous purchases. Hanna Andersson reserves the right to modify or cancel this offer at any time.</t>
  </si>
  <si>
    <t>Extra 20% off Your Purchase: Valid through 11:59pm PT on 10/19/2024. Discount taken at checkout with code FF20. Offer cannot be combined with additional coupon offers. Cannot be applied to previous purchase, no price adjustments. Not valid on select items: clearance, final sale, baby bundles, shipping or taxes. Not redeemable for gift cards, cash, credit, or towards previous purchases. Hanna Andersson reserves the right to modify or cancel this offer at any time.</t>
  </si>
  <si>
    <t>20% off orders $125+ (New Customers)</t>
  </si>
  <si>
    <t>20NEW</t>
  </si>
  <si>
    <t>HOL2024-TC-AFFILIATE-20NEW</t>
  </si>
  <si>
    <t>Extra 20% off your purchase of $125 or more for new customers only. Valid through 10/31/24 at 11:59 pm PST. Discount taken with code 20NEW at checkout on qualifying orders. Cannot be combined with other offers or applied to previous purchases. Excludes Hanna-Me-Downs resale transactions. Not valid on final sale, clearance, giftcards, shipping or taxes.To redeem, enter code in the promo code box during checkout. Limit of one use per customer, can not be combined with other codes or Hanna Rewards. Not redeemable for gift cards, cash, credit, or towards previous purchases. Hanna Andersson reserves the right to modify or cancel this offer at any time. First purchase only.</t>
  </si>
  <si>
    <t>HOL2024-CCC-20PERCENTOFF-EXTRAS</t>
  </si>
  <si>
    <t>Yes confirmed 10/24</t>
  </si>
  <si>
    <t>Evergreen SMS opt-in offer</t>
  </si>
  <si>
    <t>HOL24-TC-SMS-EVERGREENOPTIN</t>
  </si>
  <si>
    <t>Extra 20% off your order with unique code at checkout. Valid on a single purchase starting on 10/14/24 12:00AM PT. One time use per customer. Offer cannot be combined with other promotion codes and offers. Cannot be applied to previous purchase, no price adjustments. Not valid on select items: Clearance, Final Sale, shipping or taxes. Not redeemable for gift cards, cash, credit, or towards previous purchases. Hanna Andersson reserves the right to modify or cancel this offer at any time.</t>
  </si>
  <si>
    <t>SMS opt-in offer during F&amp;F (in B&amp;B emails)</t>
  </si>
  <si>
    <t>HOL24-TC-SMS-EVERGREENOPTIN-FF</t>
  </si>
  <si>
    <t>Extra 20% off your order with unique code at checkout. Valid on a single purchase through 10/28/24 at 11:59PM PT. One time use per customer. Offer cannot be combined with other promotion codes and offers. Cannot be applied to previous purchase, no price adjustments. Not valid on select items: Final Sale, shipping or taxes. Not redeemable for gift cards, cash, credit, or towards previous purchases. Hanna Andersson reserves the right to modify or cancel this offer at any time.</t>
  </si>
  <si>
    <t>Grinch 50% Off Promo - Paid Social</t>
  </si>
  <si>
    <t>GRINCH</t>
  </si>
  <si>
    <t>Only applicable for striped Grinch pjs. Not stackable. Excludes new arrivals and final sale.</t>
  </si>
  <si>
    <t>HOL24-TC-PAIDSOCIAL-GRINCH</t>
  </si>
  <si>
    <t>Extra 16.5% off Striped Grinch styles with code GRINCH. Valid through 10/13/2023 at 11:59PM PST. Discount count taken in cart with code GRINCH. Exclusions apply including Final Sale and New Arrivals. Not valid with other offers or codes. Cannot be applied to previous purchases, no price adjustments. Offer does not apply to shipping or taxes. Not redeemable for gift cards, cash, or credit. Hanna Andersson reserves the right to modify or cancel this offer at any time.</t>
  </si>
  <si>
    <t>$20 Off $100+ purchase</t>
  </si>
  <si>
    <t>HOL24-TC-LOYALTY-20OFF100</t>
  </si>
  <si>
    <t>Take $20 off your purchase of $100 or more. Valid through 10/30/24 at 11:59 pm PST. Discount taken with unique code at checkout on qualifying orders. Cannot be combined with other offers or applied to previous purchases. Excludes Hanna-Me-Downs resale transactions. Not valid on final sale, clearance, giftcards, shipping or taxes. To redeem, enter code in the promo code box during checkout. Limit of one use per customer, can not be combined with other codes or Hanna Rewards. Not redeemable for gift cards, cash, credit, or towards previous purchases. Hanna Andersson reserves the right to modify or cancel this offer at any time. First purchase only.</t>
  </si>
  <si>
    <t>20% Off Order</t>
  </si>
  <si>
    <t>HOL24-TC-LOYALTY-20OFFORDER</t>
  </si>
  <si>
    <t>Take 20% off your order. Valid through 10/30/24 at 11:59 pm PST. Discount taken with unique code at checkout on qualifying orders. Cannot be combined with other offers or applied to previous purchases. Excludes Hanna-Me-Downs resale transactions. Not valid on final sale, clearance, giftcards, shipping or taxes. To redeem, enter code in the promo code box during checkout. Limit of one use per customer, can not be combined with other codes or Hanna Rewards. Not redeemable for gift cards, cash, credit, or towards previous purchases. Hanna Andersson reserves the right to modify or cancel this offer at any time. First purchase only.</t>
  </si>
  <si>
    <t>FRIENDS15</t>
  </si>
  <si>
    <t>HOL2024-TC-EMAIL-FRIENDS15</t>
  </si>
  <si>
    <t>Extra 15% off Clearance with code FRIENDS15. Valid through 11:59pm PT on 10/21/2024. Discount taken at checkout with code FRIENDS15 on qualifying products. Offer cannot be combined with additional coupon offers or codes. Cannot be applied to previous purchases, no price adjustments. Not valid on shipping or taxes. Not redeemable for gift cards, cash, credit, or towards previous purchases. Hanna Andersson reserves the right to modify or cancel this offer at any time.</t>
  </si>
  <si>
    <t xml:space="preserve">Employee </t>
  </si>
  <si>
    <t>30% off Entire Order</t>
  </si>
  <si>
    <t>10 total uses</t>
  </si>
  <si>
    <t>BB30</t>
  </si>
  <si>
    <t>No Exclusions</t>
  </si>
  <si>
    <t>HOL2024-TC-EMP-BB30</t>
  </si>
  <si>
    <t>Extra 30% off your order with code BB30 at checkout. Valid on up to 10 purchases through 11:59pm PT on 11/25/24. Offer cannot be combined with other promotion codes and offers. Cannot be applied to previous purchase, no price adjustments. Not valid on select items: shipping or taxes. Not redeemable for gift cards, cash, credit, or towards previous purchases. Cannot be used with Hanna Rewards. Hanna Andersson reserves the right to modify or cancel this offer at any time.</t>
  </si>
  <si>
    <t>This is for our portfolio company Boll &amp; Branch. They want to give their influencers some Hanna Product.</t>
  </si>
  <si>
    <t>Free Shipping - Email Codes</t>
  </si>
  <si>
    <t>HOL2024-TC-LOYALTY-FREESHIP</t>
  </si>
  <si>
    <t>Free standard shipping with unique code at checkout. Valid through 11:59pm PT on 11/2/24 only. Offer cannot be combined with other promotion codes and offers. Cannot be applied to previous purchase, no price adjustments. Not valid on select items: taxes. Not redeemable for gift cards, cash, credit, or towards previous purchases. Hanna Andersson reserves the right to modify or cancel this offer at any time.</t>
  </si>
  <si>
    <t>November Birthday TG1 $10 Off Your Purchase of $50+</t>
  </si>
  <si>
    <t>HOL24-TC-LOYALTY-NOVBDAY-10OFF50</t>
  </si>
  <si>
    <t>$10 off your order of $50 or more with unique code. Valid through 11:59pm PT on 11/30/2024.  Discount taken with code at checkout. Cannot be combined with other offers or applied to previous purchases.  Not valid on select items: Clearance and Final Sale, giftcards, shipping or taxes. To redeem, enter code in the promo code box during checkout. Limit of one offer code per order and one code per customer. Excludes Hanna-Me-Downs resale transactions. Not redeemable for gift cards, cash, credit, or towards previous purchases. Not valid in retail stores or outlets. Hanna Andersson reserves the right to modify or cancel this offer at any time.</t>
  </si>
  <si>
    <t>November Birthday TG2 $10 Off Your Purchase</t>
  </si>
  <si>
    <t>HOL24-TC-LOYALTY-NOVBDAY-10OFF</t>
  </si>
  <si>
    <t>$10 off your order with unique code. Valid through 11:59pm PT on 11/30/2024.  Discount taken with code at checkout. Cannot be combined with other offers or applied to previous purchases.  Not valid on select items: Clearance and Final Sale, giftcards, shipping or taxes. To redeem, enter code in the promo code box during checkout. Limit of one offer code per order and one code per customer. Excludes Hanna-Me-Downs resale transactions. Not redeemable for gift cards, cash, credit, or towards previous purchases. Not valid in retail stores or outlets. Hanna Andersson reserves the right to modify or cancel this offer at any time.</t>
  </si>
  <si>
    <t>Extra 25% off Clearance</t>
  </si>
  <si>
    <t>SALE25</t>
  </si>
  <si>
    <t>Free Shipping - SMS Codes</t>
  </si>
  <si>
    <t>HOL2024-TC-SMS-FREESHIP</t>
  </si>
  <si>
    <t>New customers 20% off</t>
  </si>
  <si>
    <t>20HELLO</t>
  </si>
  <si>
    <t>HOL2024-TC-AFFILIATE-20HELLO</t>
  </si>
  <si>
    <t>Extra 20% off first order with code 20HELLO. Valid through 11:59pm PT on 11/15/2024. Discount taken at checkout with code 20HELLO on qualifying orders. Offer cannot be combined with additional coupon offers or codes. Cannot be applied to previous purchases, no price adjustments. Not valid on Final Sale, Clearance, shipping or taxes. Not redeemable for gift cards, cash, credit, or towards previous purchases. Hanna Andersson reserves the right to modify or cancel this offer at any time.</t>
  </si>
  <si>
    <t>DealMoon: 20% off orders</t>
  </si>
  <si>
    <t>DEALMOON20</t>
  </si>
  <si>
    <t>Clearance and Final Sale</t>
  </si>
  <si>
    <t>HOL2024-TC-AFFILIATE-DEALMOON20</t>
  </si>
  <si>
    <t>Extra 20% off order with code DEALMOON20. Valid through 11:59pm PT on 11/11/2024. Discount taken at checkout with code DEALMOON20 on qualifying orders. Offer cannot be combined with additional coupon offers or codes. Cannot be applied to previous purchases, no price adjustments. Not valid on Final Sale, Clearance, shipping or taxes. Not redeemable for gift cards, cash, credit, or towards previous purchases. Hanna Andersson reserves the right to modify or cancel this offer at any time.</t>
  </si>
  <si>
    <t xml:space="preserve">Grinch 15% off </t>
  </si>
  <si>
    <t>Only applicable for striped Grinch pjs. 47052-NN9, 47052-FX7, 52706-FX8, 52706-FX9, 52706-NP0, 82083-FX7, 82083-NN9, 67093-NN9, 67078-FX9, 67071-FX7, 48886-NN9, 60310-FX9, 48879-FX7, 67256-FX7, 47052-NN9
 Not stackable. Excludes new arrivals and final sale.</t>
  </si>
  <si>
    <t>Extra 15% off Striped Grinch styles with code GRINCH. Valid through 11/1/2024 at 11:59PM PST. Discount count taken in cart with code GRINCH. Exclusions apply including Final Sale and New Arrivals. Not valid with other offers or codes. Cannot be applied to previous purchases, no price adjustments. Offer does not apply to shipping or taxes. Not redeemable for gift cards, cash, or credit. Hanna Andersson reserves the right to modify or cancel this offer at any time.</t>
  </si>
  <si>
    <t>HOL24-TC-PAIDSOCIAL-GRINCH-1104</t>
  </si>
  <si>
    <t>Extra 15% off Striped Grinch styles with code GRINCH. Valid through 11/7/2024 at 11:59PM PST. Discount count taken in cart with code GRINCH. Exclusions apply including Final Sale and New Arrivals. Not valid with other offers or codes. Cannot be applied to previous purchases, no price adjustments. Offer does not apply to shipping or taxes. Not redeemable for gift cards, cash, or credit. Hanna Andersson reserves the right to modify or cancel this offer at any time.</t>
  </si>
  <si>
    <t>Collab TO: 25% off collab</t>
  </si>
  <si>
    <t>FAVS25</t>
  </si>
  <si>
    <t>Only applies to collab</t>
  </si>
  <si>
    <t>HOL24-TC-EMAIL-25COLLAB-FAVS25</t>
  </si>
  <si>
    <t>Extra 25% off collaborations. Valid through 11/12/2024 at 11:59PM PST. Discount count taken in cart with code FAVS25. Not valid with other offers or codes. Cannot be applied to previous purchases, no price adjustments. Offer does not apply to shipping or taxes. Not redeemable for gift cards, cash, or credit. Hanna Andersson reserves the right to modify or cancel this offer at any time.</t>
  </si>
  <si>
    <t>Yes, confirmed 11/6</t>
  </si>
  <si>
    <t>SMS</t>
  </si>
  <si>
    <t>SMS opt-in offer during WK41 (in B&amp;B emails)
Should be set up exactly like: HOL24-TC-SMS-EVERGREENOPTIN-FF</t>
  </si>
  <si>
    <t>HOL24-TC-SMS-EVERGREENOPTIN-WK41</t>
  </si>
  <si>
    <t>Extra 20% off your order with unique code at checkout. Valid on a single purchase through 11/15/24 at 11:59PM PT. One time use per customer. Offer cannot be combined with other promotion codes and offers. Cannot be applied to previous purchase, no price adjustments. Not valid on select items: Final Sale, shipping or taxes. Not redeemable for gift cards, cash, credit, or towards previous purchases. Hanna Andersson reserves the right to modify or cancel this offer at any time.</t>
  </si>
  <si>
    <t>Yes confirmed 11/7</t>
  </si>
  <si>
    <t>Elf - Extra 15% Off</t>
  </si>
  <si>
    <t>ELF15</t>
  </si>
  <si>
    <t>Only applicable on Elf products, no clearance or final sale.</t>
  </si>
  <si>
    <t>HOL24-TC-PAIDSOCIAL-ELF</t>
  </si>
  <si>
    <t>Extra 15% off Elf styles with code ELF15. Valid through 11/13/2024 at 11:59PM PST. Discount count taken in cart with code ELF15. Exclusions apply including Final Sale and New Arrivals. Not valid with other offers or codes. Cannot be applied to previous purchases, no price adjustments. Offer does not apply to shipping or taxes. Not redeemable for gift cards, cash, or credit. Hanna Andersson reserves the right to modify or cancel this offer at any time.</t>
  </si>
  <si>
    <t>Star Wars - Extra 15% Off</t>
  </si>
  <si>
    <t>STARWARS15</t>
  </si>
  <si>
    <t>Only applicable for Star Wars products, no clearance or final sale.</t>
  </si>
  <si>
    <t>Polar Express- Extra 15% Off</t>
  </si>
  <si>
    <t>POLAR15</t>
  </si>
  <si>
    <t>Only applicable for Polar Express products, no clearance or final sale.</t>
  </si>
  <si>
    <t>HOL2024-TC-PAIDSOCIAL-POLAR15</t>
  </si>
  <si>
    <t>Extra 15% off Polar Express Styles styles with code POLAR15. Valid through 12/11/2024 at 11:59PM PST. Discount count taken in cart with code POLAR15. Exclusions apply including Final Sale and Clearance. Not valid with other offers or codes. Cannot be applied to previous purchases, no price adjustments. Offer does not apply to shipping or taxes. Not redeemable for gift cards, cash, or credit. Hanna Andersson reserves the right to modify or cancel this offer at any time.</t>
  </si>
  <si>
    <t>Bluey - Extra 15% Off</t>
  </si>
  <si>
    <t>BLUEY15</t>
  </si>
  <si>
    <t>Only applicable for Bluey products, no clearance or final sale.</t>
  </si>
  <si>
    <t>HOL24-TC-PAIDSOCIAL-STARWARS</t>
  </si>
  <si>
    <t>Extra 15% off Star Wars styles with code STARWARS15. Valid through 11/18/2024 at 11:59PM PST. Discount count taken in cart with code STARWARS15. Exclusions apply including Final Sale and New Arrivals. Not valid with other offers or codes. Cannot be applied to previous purchases, no price adjustments. Offer does not apply to shipping or taxes. Not redeemable for gift cards, cash, or credit. Hanna Andersson reserves the right to modify or cancel this offer at any time.</t>
  </si>
  <si>
    <t xml:space="preserve">Free Shipping for Hanna Rewards Members </t>
  </si>
  <si>
    <t>FREESHIP24</t>
  </si>
  <si>
    <t>Free shipping code; Gate for Loyalty members</t>
  </si>
  <si>
    <t>HOL2024-TC-EMAIL-FREESHIP</t>
  </si>
  <si>
    <t>Free standard shipping with unique code FREESHIP24 at checkout. Valid through 11:59pm PT on 12/10/24 only. Offer cannot be combined with other promotion codes and offers. Cannot be applied to previous purchase, no price adjustments. Not valid on select items: taxes. Not redeemable for gift cards, cash, credit, or towards previous purchases. Hanna Andersson reserves the right to modify or cancel this offer at any time.</t>
  </si>
  <si>
    <t xml:space="preserve">Free Shipping for Hanna Rewards Members  </t>
  </si>
  <si>
    <t>HOL2024-TC-EMAIL-FREESHIP-UNIQUE</t>
  </si>
  <si>
    <t>Free standard shipping with your unique at checkout. Valid through 11:59pm PT on 12/3/24 only. Offer cannot be combined with other promotion codes and offers. Cannot be applied to previous purchase, no price adjustments. Not valid on select items: taxes. Not redeemable for gift cards, cash, credit, or towards previous purchases. Hanna Andersson reserves the right to modify or cancel this offer at any time.</t>
  </si>
  <si>
    <t>CM20</t>
  </si>
  <si>
    <t>HOL2024-TC-EMAIL-CM20</t>
  </si>
  <si>
    <t>Extra 20% off Clearance with code CM20. Valid through 11:59pm PT on 12/3/2024. Discount taken at checkout with code CM20 on qualifying products. Offer cannot be combined with additional coupon offers or codes. Cannot be applied to previous purchases, no price adjustments. Not valid on Final Sale, shipping or taxes. Not redeemable for gift cards, cash, credit, or towards previous purchases. Hanna Andersson reserves the right to modify or cancel this offer at any time.</t>
  </si>
  <si>
    <t>Yes confirmed 11/21 - Campaign timing needs to be updated once landed - non-stackable with other discount coupon codes</t>
  </si>
  <si>
    <t>Extra 20% off Star Wars Products</t>
  </si>
  <si>
    <t>STARWARS20</t>
  </si>
  <si>
    <t>Any product other than the sku's listed for this promotion</t>
  </si>
  <si>
    <t>HOL24-TC-AFFILIATE-STARWARS20</t>
  </si>
  <si>
    <t>Extra 20% off Star Wars Styles styles with code STARWARS20. Valid through 12/11/2024 at 11:59PM PST. Discount count taken in cart with code STARWARS20. Exclusions apply including Final Sale and New Arrivals. Not valid with other offers or codes. Cannot be applied to previous purchases, no price adjustments. Offer does not apply to shipping or taxes. Not redeemable for gift cards, cash, or credit. Hanna Andersson reserves the right to modify or cancel this offer at any time.</t>
  </si>
  <si>
    <t>Here is a link to all of the products the code should apply on - https://hannacorp.sharepoint.com/:x:/t/WeeklyReporting/EQKc-2CDYBJCgbqoRIyXJ1IBsZoSIcgA-SOIpDme1y2-IA?e=OM0B75</t>
  </si>
  <si>
    <t>Yes Lisa confirmed with Aimee</t>
  </si>
  <si>
    <t>Lisa P/Holly</t>
  </si>
  <si>
    <t xml:space="preserve">10% off order for LCatterton employees </t>
  </si>
  <si>
    <t>LC2024HOLIDAY</t>
  </si>
  <si>
    <t>1 use per customer</t>
  </si>
  <si>
    <t>HOL2024-EMPLOYEE-LC2024HOLIDAY</t>
  </si>
  <si>
    <t>Extra 10% off your order with code LC2024HOLIDAY at checkout. Valid on a single purchase through 11:59pm PT on 12/25/2024. Offer cannot be combined with other promotion codes and offers. Cannot be applied to previous purchase, no price adjustments. Not valid on select items: Final Sale, Clearance, Shipping or taxes. Code is valid for one use per customer. Not redeemable for gift cards, cash, credit, or towards previous purchases. Hanna Andersson reserves the right to modify or cancel this offer at any time.</t>
  </si>
  <si>
    <t xml:space="preserve">10% off order for LCatterton Companies' employees </t>
  </si>
  <si>
    <t>LC2024</t>
  </si>
  <si>
    <t>HOL2024-EMPLOYEE-LC2024</t>
  </si>
  <si>
    <t>Extra 10% off your order with code LC2024 at checkout. Valid on a single purchase through 11:59pm PT on 12/25/2024. Offer cannot be combined with other promotion codes and offers. Cannot be applied to previous purchase, no price adjustments. Not valid on select items: Final Sale, Clearance, Shipping or taxes. Code is valid for one use per customer. Not redeemable for gift cards, cash, credit, or towards previous purchases. Hanna Andersson reserves the right to modify or cancel this offer at any time.</t>
  </si>
  <si>
    <t>HOL2024-TC-CCC-APPEASEMENT-20OFFORDER-BATCH2</t>
  </si>
  <si>
    <t>20% off order with unique code. Valid through 11:59pm PT on 2/22/2025. Discount taken with code at checkout with unique code. Cannot be combined with other offers or applied to previous purchases. Not valid on select items: Clearance, Final Sale, Giftcards, shipping or taxes. Limit of one offer code per order. Excludes Hanna-Me-Downs resale transactions. Not redeemable for gift cards, cash, credit, or towards previous purchases. Hanna Andersson reserves the right to modify or cancel this offer at any time.</t>
  </si>
  <si>
    <t>Yes confirmed 12/13</t>
  </si>
  <si>
    <t>HOL2024-TC-DIRECTMAIL-20OFFNEW-1206</t>
  </si>
  <si>
    <t>20% off your order with your unique code for first time customers only. Valid through 1/25/2025 at 11:59PM PST. One use per code. Unique code must be entered at checkout for discount. Exclusions include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</si>
  <si>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HOL2024-TC-DIRECTMAIL-20OFFEXISTING-1206</t>
  </si>
  <si>
    <t>20% off your order with your unique code. Valid through 1/25/2025 at 11:59PM PST. Unique code must be entered at checkout for discount. One use per customer. Exclusions include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</si>
  <si>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Emarsys Welcome code (Welcome20_111622) replenishment to add to existing bank</t>
  </si>
  <si>
    <t>20% off New Customer (Emarsys Welcome Replenishment)</t>
  </si>
  <si>
    <t>SS21-welcome-20-100</t>
  </si>
  <si>
    <t>20% off $125+ for New Customers</t>
  </si>
  <si>
    <t>Yes confirmed 12/23 - need to end earlier - April? Lisa to confirm end date</t>
  </si>
  <si>
    <t>20% off New Customer (Wunderkind Welcome Replenishment)</t>
  </si>
  <si>
    <t>SU2024-TC-EMAIL-WELCOME20</t>
  </si>
  <si>
    <t>Replenishment of Wunderkind's New Customer Welcome Codes</t>
  </si>
  <si>
    <t>Yes confirmed 1/7/25</t>
  </si>
  <si>
    <t>Extra 25% off Order</t>
  </si>
  <si>
    <t>YAY25</t>
  </si>
  <si>
    <t>SP2025-TC-EMAIL-YAY25</t>
  </si>
  <si>
    <t>Extra 25% off your order with code YAY25 at checkout. Valid through 11:59pm PT on 1/20/25. Offer cannot be combined with other promotion codes and offers. Cannot be applied to previous purchase, no price adjustments. Not valid on select items: Final Sale, shipping or taxes. Not redeemable for gift cards, cash, credit, or towards previous purchases. Hanna Andersson reserves the right to modify or cancel this offer at any time.</t>
  </si>
  <si>
    <t>CCC</t>
  </si>
  <si>
    <t>SP2025-TC-CCC-PS-APPEASEMENT-Q1</t>
  </si>
  <si>
    <t>20% off orders $100 or more with code. Valid through 11:59pm PT on 5/24/2025.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</si>
  <si>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10% off order with code. Valid through 11:59pm PT on 5/24/2025.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</si>
  <si>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25% off entire order with code. Valid through 11:59pm PT on 5/24/2025.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</si>
  <si>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Free standard shipping is valid on orders shipped to a single U.S. address (excluding AK and HI) through 11:59 PM PST on 5/24/25. Not valid on previous orders. Hanna Andersson reserves the right to make changes to promotions at any time.</t>
  </si>
  <si>
    <t>$10 off: Valid through 11:59pm PT on 5/24/2025.  Discount taken with code at checkout. Cannot be combined with other offers or applied to previous purchases.  Not valid on select items: giftcards, 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</si>
  <si>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15% off order with code. Valid through 11:59pm PT on 5/24/2025.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</si>
  <si>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20% off order with code. Valid through 11:59pm PT on 5/24/2025.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</si>
  <si>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PS</t>
  </si>
  <si>
    <t>Valid through 11:59pm PT on 5/24/2025.  Discount taken with code at checkout. Cannot be combined with other offers or applied to previous purchases. Not valid on select items: giftcards, 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</si>
  <si>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20% off order with code. Valid through 11:59pm PT on 5/24/2025.  Discount taken with code at checkout. Cannot be combined with other offers or applied to previous purchases. Not valid on select items: giftcards, 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</si>
  <si>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SU2025-TC-CCC-PS-APPEASEMENT-Q2</t>
  </si>
  <si>
    <t>20% off orders $100 or more with code. Valid through 11:59pm PT on 8/23/2025.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</si>
  <si>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10% off order with code. Valid through 11:59pm PT on 8/23/2025.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</si>
  <si>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25% off entire order with code. Valid through 11:59pm PT on 8/23/2025.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</si>
  <si>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Free standard shipping is valid on orders shipped to a single U.S. address (excluding AK and HI) through 11:59 PM PST on 8/23/2025. Not valid on previous orders. Hanna Andersson reserves the right to make changes to promotions at any time.</t>
  </si>
  <si>
    <t>$10 off: Valid through 11:59pm PT on 8/23/2025.  Discount taken with code at checkout. Cannot be combined with other offers or applied to previous purchases.  Not valid on select items: giftcards, 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</si>
  <si>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15% off order with code. Valid through 11:59pm PT on 8/23/2025.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</si>
  <si>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20% off order with code. Valid through 11:59pm PT on 8/23/2025.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</si>
  <si>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Valid through 11:59pm PT on 8/23/2025.  Discount taken with code at checkout. Cannot be combined with other offers or applied to previous purchases. Not valid on select items: giftcards, 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</si>
  <si>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20% off order with code. Valid through 11:59pm PT on 8/23/2025.  Discount taken with code at checkout. Cannot be combined with other offers or applied to previous purchases. Not valid on select items: giftcards, 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</si>
  <si>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FA2025-TC-CCC-PS-APPEASEMENT-Q3</t>
  </si>
  <si>
    <t>20% off orders $100 or more with code. Valid through 11:59pm PT on 11/22/2025.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</si>
  <si>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10% off order with code. Valid through 11:59pm PT on 11/22/2025.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</si>
  <si>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25% off entire order with code. Valid through 11:59pm PT on 11/22/2025.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</si>
  <si>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$7.50 Free Ship</t>
  </si>
  <si>
    <t>Free standard shipping is valid on orders shipped to a single U.S. address (excluding AK and HI) through 11:59 PM PST on 11/22/2025. Not valid on previous orders. Hanna Andersson reserves the right to make changes to promotions at any time.</t>
  </si>
  <si>
    <t>$10 off: Valid through 11:59pm PT on 11/22/2025.  Discount taken with code at checkout. Cannot be combined with other offers or applied to previous purchases.  Not valid on select items: giftcards, 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</si>
  <si>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15% off order with code. Valid through 11:59pm PT on 11/22/2025.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</si>
  <si>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20% off order with code. Valid through 11:59pm PT on 11/22/2025.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</si>
  <si>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Valid through 11:59pm PT on 11/22/2025.  Discount taken with code at checkout. Cannot be combined with other offers or applied to previous purchases. Not valid on select items: giftcards, 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</si>
  <si>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20% off order with code. Valid through 11:59pm PT on 11/22/2025.  Discount taken with code at checkout. Cannot be combined with other offers or applied to previous purchases. Not valid on select items: giftcards, 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</si>
  <si>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HOL2025-TC-CCC-PS-APPEASEMENT-Q4</t>
  </si>
  <si>
    <t>20% off orders $100 or more with code. Valid through 11:59pm PT on 2/21/2026.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</si>
  <si>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10% off order with code. Valid through 11:59pm PT on 2/21/2026.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</si>
  <si>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25% off entire order with code. Valid through 11:59pm PT on 2/21/2026.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</si>
  <si>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Free standard shipping is valid on orders shipped to a single U.S. address (excluding AK and HI) through 11:59 PM PST on 2/21/2026. Not valid on previous orders. Hanna Andersson reserves the right to make changes to promotions at any time.</t>
  </si>
  <si>
    <t>$10 off: Valid through 11:59pm PT on 2/21/2026.  Discount taken with code at checkout. Cannot be combined with other offers or applied to previous purchases.  Not valid on select items: giftcards, 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</si>
  <si>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15% off order with code. Valid through 11:59pm PT on 2/21/2026.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</si>
  <si>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20% off order with code. Valid through 11:59pm PT on 2/21/2026.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</si>
  <si>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Valid through 11:59pm PT on 2/21/2026.  Discount taken with code at checkout. Cannot be combined with other offers or applied to previous purchases. Not valid on select items: giftcards, 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</si>
  <si>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20% off order with code. Valid through 11:59pm PT on 2/21/2026.  Discount taken with code at checkout. Cannot be combined with other offers or applied to previous purchases. Not valid on select items: giftcards, 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</si>
  <si>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SP2025-TC-PS-VIPCARDS</t>
  </si>
  <si>
    <t>10% off your entire order with code. Valid through 1/31/26 at 11:59pm PST. Discount taken with code at checkout. Cannot be applied to previous purchases. One use per customer. Not redeemable for gift cards, cash, credit, or towards previous purchases. Hanna Andersson reserves the right to modify or cancel this offer at any time.</t>
  </si>
  <si>
    <t>Yes confirmed 1/9/25</t>
  </si>
  <si>
    <t>Esther Johnson</t>
  </si>
  <si>
    <t>Aimee extra 10% off, stackable with other red lines and other coupons</t>
  </si>
  <si>
    <t>No exclusions</t>
  </si>
  <si>
    <t>SP2025-BRANDMARKETING-10PERCENTOFF</t>
  </si>
  <si>
    <t>10% off your entire order with code. Valid through 1/31/27 at 11:59pm PST. Discount taken with unique code at checkout. One use per customer. Cannot be combined with other codes. Not redeemable for gift cards, cash, credit, or towards previous purchases. Hanna Andersson reserves the right to modify or cancel this offer at any time.</t>
  </si>
  <si>
    <t>Yes confirmed 1/21/25</t>
  </si>
  <si>
    <t>15% off New Customers</t>
  </si>
  <si>
    <t>SWEET15</t>
  </si>
  <si>
    <t>SP2025-TC-AFFILIATE-SWEET15</t>
  </si>
  <si>
    <t>Extra 15% off order for new customers with code SWEET15. Valid through 11:59pm PT on 2/24/25. Offer cannot be combined with other promotion codes and offers. Cannot be applied to previous purchase, no price adjustments. Not valid on select items: Clearance, Final Sale, shipping or taxes. Not redeemable for gift cards, cash, credit, or towards previous purchases. Hanna Andersson reserves the right to modify or cancel this offer at any time.</t>
  </si>
  <si>
    <t xml:space="preserve">Mix &amp; Match 2 or more for 30% off </t>
  </si>
  <si>
    <t>MIXMATCH</t>
  </si>
  <si>
    <t>Not Forever Favorites Sleep; CLEARANCE Aand final sale</t>
  </si>
  <si>
    <t>SP2025-TC-EMAIL-MIXMATCH</t>
  </si>
  <si>
    <t>Buy 2 or more qualifying products and get 30% off your order with code MIXMATCH. Valid through 2/3/25 at 11:59PM PST. Discount taken with code MIXMATCH at checkout with qualifying products in cart. Not valid with other offers or codes. Cannot be applied to previous purchases, no price adjustments. Offer does not apply to shipping or taxes. Not redeemable for gift cards, cash, or credit. Hanna Andersson reserves the right to modify or cancel this offer at any time.</t>
  </si>
  <si>
    <t>Welcome</t>
  </si>
  <si>
    <t>15% off New Customer (Emarsys Welcome Replenishment)</t>
  </si>
  <si>
    <t>SP2025-TC-WELCOME-15-EMARSYS</t>
  </si>
  <si>
    <t>15% off for new Customers: Discount taken with unique code entry at checkout. Code entry provided on site upon clicking from this email. Cannot be applied to previous purchases. Valid for two weeks from receipt. Not valid on select items: clearance, final sale, giftcards, shipping or taxes. Limit of one per customer, cannot be combined with other offers or sitewide promotions, other exclusions may apply, see site for details. To redeem, enter code in the promo code box during checkout. Not redeemable for gift cards, cash, credit, or towards previous purchases. Hanna Andersson reserves the right to modify or cancel this offer at anytime.</t>
  </si>
  <si>
    <t>Replenishment of Emarsy's New Customer Welcome Codes</t>
  </si>
  <si>
    <t>15% off New Customer (Wunderkind Welcome Replenishment)</t>
  </si>
  <si>
    <t>SP2025-TC-WELCOME-15-WUNDERKIND</t>
  </si>
  <si>
    <t>15% off New Customer (BloomReach Welcome Code Bank)</t>
  </si>
  <si>
    <t>SP2025-TC-WELCOME-15-BLOOMREACH</t>
  </si>
  <si>
    <t>New Bank for BloomReach's New Customer Welcome Codes</t>
  </si>
  <si>
    <t>Targeted Offer: Evergreen SMS opt-in offer - 15% off</t>
  </si>
  <si>
    <t>SP2025-TC-SMS-EVERGREEN15OFF</t>
  </si>
  <si>
    <t>15% off: Discount taken with unique code entry at checkout. Code entry provided on site upon clicking from this email. Cannot be applied to previous purchases. Valid for two weeks from receipt. Not valid on select items: final sale, giftcards, shipping or taxes. Limit of one per customer, cannot be combined with other offers or sitewide promotions, other exclusions may apply, see site for details. To redeem, enter code in the promo code box during checkout. Not redeemable for gift cards, cash, credit, or towards previous purchases. Hanna Andersson reserves the right to modify or cancel this offer at anytime</t>
  </si>
  <si>
    <t>Yes confirmed 2/13</t>
  </si>
  <si>
    <t xml:space="preserve">sp23-pres-sale-WKND (reusing old coupon) </t>
  </si>
  <si>
    <t>25% off entire order with code WKND25. Valid through 2/18/2025 at 11:59PM PST. Code must be applied in cart for discount. Exclusions apply including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</si>
  <si>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Abandon Cart</t>
  </si>
  <si>
    <r>
      <rPr>
        <sz val="11"/>
        <color rgb="FF000000"/>
        <rFont val="Calibri"/>
        <family val="2"/>
        <scheme val="minor"/>
      </rPr>
      <t xml:space="preserve">15% off Abandon Cart for customers in WK emails (3-5) (Wunderkind replenishment)
</t>
    </r>
    <r>
      <rPr>
        <sz val="11"/>
        <color rgb="FFFF0000"/>
        <rFont val="Calibri"/>
        <family val="2"/>
        <scheme val="minor"/>
      </rPr>
      <t>SHOULD MIRROR THE EXACT SET UP AS CURRENT VERSION: SU2024-WELCOME20-ABANDONCART20</t>
    </r>
  </si>
  <si>
    <t>SP2025-TC-ABANDONCART-WUNDERKIND</t>
  </si>
  <si>
    <t>15% off orders over $100 with code:  Valid on the purchases of $100 or more, for 30 days from receipt.  Discount taken with code at checkout. Cannot be combined with other offers or applied to previous purchases.  Not valid on giftcards, gift boxes shipping or taxes. Excludes Hanna-Me-Downs resale transactions. To redeem, enter code in the promo code box during checkout.  Limit of one use per code.  Not redeemable for gift cards, cash, credit, or towards previous purchases. Hanna Andersson reserves the right to modify or cancel this offer at any time.</t>
  </si>
  <si>
    <t>15% off New Customer (BloomReach Abandon Cart Bank)</t>
  </si>
  <si>
    <t>SP2025-TC-ABANDONCART-BLOOMREACH</t>
  </si>
  <si>
    <t>15% off order with unique code. Discount taken with code at checkout. Cannot be combined with other offers or applied to previous purchases.  Not valid on giftcards, gift boxes shipping or taxes. Excludes Clearance, Final Sale, Hanna-Me-Downs resale transactions. To redeem, enter code in the promo code box during checkout. Limit of one use per code. Not redeemable for gift cards, cash, credit, or towards previous purchases. Hanna Andersson reserves the right to modify or cancel this offer at any time.</t>
  </si>
  <si>
    <t>$20 off $125+ for Baby (New Customers Only)</t>
  </si>
  <si>
    <t>Only applicable for Baby</t>
  </si>
  <si>
    <t>Extra $20 off your purchase of $125 or more of qualifying baby product for new customers only. Valid through 11:59pm PT on 4/20/2025. Discount taken at checkout with code DEAL20 on qualifying baby products. One use per customer. Offer cannot be combined with additional coupon offers or codes. Cannot be applied to previous purchases, no price adjustments. Not valid on Final Sale, shipping or taxes. Not redeemable for gift cards, cash, credit, or towards previous purchases. Hanna Andersson reserves the right to modify or cancel this offer at any time.</t>
  </si>
  <si>
    <t>SP2025-TC-AFFILATE-20OFF-NEWBABY-UNIQUE</t>
  </si>
  <si>
    <t>Extra $20 off your purchase of $125 or more of qualifying baby product for new customers only. Valid through 11:59pm PT on 4/15/2025. Discount taken at checkout with unique code on qualifying baby products. One use per customer. Offer cannot be combined with additional coupon offers or codes. Cannot be applied to previous purchases, no price adjustments. Not valid on Final Sale, shipping or taxes. Not redeemable for gift cards, cash, credit, or towards previous purchases. Hanna Andersson reserves the right to modify or cancel this offer at any time.</t>
  </si>
  <si>
    <t>Yes confirmed 2/18</t>
  </si>
  <si>
    <t>Extra 15% off New Arrivals</t>
  </si>
  <si>
    <t>SURPRISE15</t>
  </si>
  <si>
    <t>Clearance, Final Sale, Limited Edition</t>
  </si>
  <si>
    <t>SP2025-TC-EMAIL-SURPRISE15</t>
  </si>
  <si>
    <t>Extra 15% off New Arrivals with code SURPRISE15. Valid through 11:59pm PT on 3/2/2025. Discount taken at checkout with code SURPRISE15 on qualifying products. Offer cannot be combined with additional coupon offers or codes. Cannot be applied to previous purchases, no price adjustments. Not valid on Clearance, Final Sale, select Limited Edition, shipping or taxes. Not redeemable for gift cards, cash, credit, or towards previous purchases. Hanna Andersson reserves the right to modify or cancel this offer at any time</t>
  </si>
  <si>
    <t>Yes confirmed 2/28</t>
  </si>
  <si>
    <t>15% off $125+ (new customers only)</t>
  </si>
  <si>
    <t>clearance and final sale</t>
  </si>
  <si>
    <t>Extra 15% off your purchase of $125 or more for new customers only. Valid through 4/24/25 at 11:59 pm PST. Discount taken with code at checkout on qualifying orders. Cannot be combined with other offers or applied to previous purchases. Excludes Hanna-Me-Downs resale transactions. Not valid on final sale, clearance, giftcards, shipping or taxes. To redeem, enter code in the promo code box during checkout. Can not be combined with other codes. Not redeemable for gift cards, cash, credit, or towards previous purchases. Hanna Andersson reserves the right to modify or cancel this offer at any time.</t>
  </si>
  <si>
    <t>15% off new customers</t>
  </si>
  <si>
    <t>15% off your first purchase with code NEW15. Valid on a single purchase through 11:59pm PT on 4/15/2025. Apply code at checkout for discount. Offer cannot be combined with additional coupon offers. One use per customer. Cannot be applied to previous purchases, no price adjustments. Exclusions apply, including Clearance, Final Sale, Baby Bundles, shipping and taxes. Not redeemable for gift cards, cash, credit, or towards previous purchases. Hanna Andersson reserves the right to modify or cancel this offer at any time.</t>
  </si>
  <si>
    <t>Yes confirmed 3/5</t>
  </si>
  <si>
    <t>"Faux Re-issue" 20% off Welcome offer to those who have not transacted since joining</t>
  </si>
  <si>
    <t>WEL9XT47MQ82</t>
  </si>
  <si>
    <t xml:space="preserve">SP25-TC-SMS-WEL9XT47MQ82
</t>
  </si>
  <si>
    <t>Extra 20% off your order with code WEL9XT47MQ82 for first orders only. Discount taken with code entry at checkout. Cannot be applied to previous purchases. Valid through 3/13/2025 until 11:59PM PST. Not valid on select items: clearance, final sale, giftcards, shipping or taxes. Excludes Hanna-Me-Downs resale transactions. To redeem, enter code in the promo code box during checkout. Limit of one use per customer, cannot be combined with other offers or sitewide promotions, other exclusions may apply. Not redeemable for gift cards, cash, credit, or towards previous purchases. Hanna Andersson reserves the right to modify or cancel this offer at anytime.</t>
  </si>
  <si>
    <t>Yes confirmed 4/1</t>
  </si>
  <si>
    <t>15% off Order - This is a code bank to hold us over as we are in the transition period of having some triggers come from WKND/EMARSYS before Attentive integration while systems aren't talking</t>
  </si>
  <si>
    <t>SP2025-TC-WELCOME-15WKNDEMARSYS-INTERIM</t>
  </si>
  <si>
    <t xml:space="preserve">"Extra 20% off Clearance (Spring Sale on Sale)
With Code TREAT20"		</t>
  </si>
  <si>
    <t>TREAT20</t>
  </si>
  <si>
    <t>SP2025-TC-EMAIL-TREAT20</t>
  </si>
  <si>
    <t xml:space="preserve">New Arrivals 25% off with code (ft. Dresses, Swim, Sleep)	</t>
  </si>
  <si>
    <t xml:space="preserve">SU2024-PEC-SITE-SUMMER25
</t>
  </si>
  <si>
    <t>Extra 25% off select Summer new arrivals with code SUMMER25. Valid through 4/13/2025 at 11:59PM PST. Code must be entered at checkout for discount. Exclusions may apply. Not valid with other offers or codes. Cannot be applied to previous purchases, no price adjustments. Offer does not apply to shipping or taxes. Not redeemable for gift cards, cash, or credit. Hanna Andersson reserves the right to modify or cancel this offer at any time.</t>
  </si>
  <si>
    <t>Code already existed in SF, so I repurposed old Coupon ID - Holly</t>
  </si>
  <si>
    <t>MAY15</t>
  </si>
  <si>
    <t>SU2025-TC-AFFILIATE-MAY15</t>
  </si>
  <si>
    <t>Extra 15% off your first order with code MAY15 for new customers. Valid through 11:59pm PT on 5/16/2025. Discount taken at checkout with code MAY15. Offer cannot be combined with additional coupon offers or codes. Cannot be applied to previous purchase, no price adjustments. Not valid on select items: Clearance, Final Sale, shipping or taxes. Not redeemable for gift cards, cash, credit, or towards previous purchases. Hanna Andersson reserves the right to modify or cancel this offer at any time.</t>
  </si>
  <si>
    <t>15% off $125+ (New Customers)</t>
  </si>
  <si>
    <t>15NEW</t>
  </si>
  <si>
    <t>SU2025-TC-AFFILIATE-15NEW</t>
  </si>
  <si>
    <t>Extra 15% off your purchase of $125 or more for new customers only. Valid through 6/9/25 at 11:59 pm PST. Discount taken with code 15NEW at checkout on qualifying orders. Cannot be combined with other offers or applied to previous purchases. Excludes Hanna-Me-Downs resale transactions. Not valid on final sale, clearance, giftcards, shipping or taxes. To redeem, enter code in the promo code box during checkout. Can not be combined with other codes. Not redeemable for gift cards, cash, credit, or towards previous purchases. Hanna Andersson reserves the right to modify or cancel this offer at any time.</t>
  </si>
  <si>
    <t>JUNE15</t>
  </si>
  <si>
    <t>SU2025-TC-AFFILIATE-JUNE15</t>
  </si>
  <si>
    <t>Extra 15% off your first purchase with code JUNE15. Valid through 6/24/25 at 11:59 pm PST. Discount taken with code JUNE15 at checkout on qualifying orders. Cannot be combined with other offers or applied to previous purchases. Excludes Hanna-Me-Downs resale transactions. Not valid on final sale, clearance, giftcards, shipping or taxes. To redeem, enter code in the promo code box during checkout. Can not be combined with other codes. Not redeemable for gift cards, cash, credit, or towards previous purchases. Hanna Andersson reserves the right to modify or cancel this offer at any time.</t>
  </si>
  <si>
    <t>ATTENTIVE SMS BANK: Welcome SMS opt-in offer - 15% off</t>
  </si>
  <si>
    <t>SU2025-TC-WELCOME-ATTENTIVESMS-15OFF</t>
  </si>
  <si>
    <t xml:space="preserve">15% off for new Customers: Discount taken with unique code entry at checkout. Code entry provided on site upon clicking from this email. Cannot be applied to previous purchases. Valid for two weeks from receipt. Not valid on select items: final sale, giftcards, shipping or taxes. Limit of one per customer, cannot be combined with other offers or sitewide promotions, other exclusions may apply, see site for details. To redeem, enter code in the promo code box during checkout. Not redeemable for gift cards, cash, credit, or towards previous purchases. Hanna Andersson reserves the right to modify or cancel this offer at anytime. </t>
  </si>
  <si>
    <t>20% off Star Wars product with code MT4. Valid one day only through 5/4/25 at 11:59PM PST. Discount taken with code at checkout. Cannot be combined with other offers or applied to previous purchases. Excludes Hanna-Me-Downs resale transactions. Not valid on final sale, giftcards, shipping or taxes. To redeem, enter code in the promo code box during checkout. Limit of one use per customer, cannot be combined with other offers. Not redeemable for gift cards, cash, credit, or towards previous purchases. Not valid to international customers. Hanna Andersson reserves the right to modify or cancel this offer at any time.</t>
  </si>
  <si>
    <t>Yes confirmed 4/17</t>
  </si>
  <si>
    <t>Extra 20% off</t>
  </si>
  <si>
    <t>EVERYMOM20</t>
  </si>
  <si>
    <t>Same exclusions as extra 20% order (email/sms/paid social/affiliate)</t>
  </si>
  <si>
    <t>SU2025-TC-AFFILIATE-EVERYMOM20</t>
  </si>
  <si>
    <t>Extra 20% off order with code EVERYMOM20. Valid through 11:59pm PT on 5/3/2025. Discount taken at checkout with code EVERYMOM20. Offer cannot be combined with additional coupon offers or codes. Cannot be applied to previous purchases, no price adjustments. Not valid on Clearance, Final Sale, shipping or taxes. Not redeemable for gift cards, cash, credit, or towards previous purchases. Hanna Andersson reserves the right to modify or cancel this offer at any time.</t>
  </si>
  <si>
    <t>Yes confirmed 4/24</t>
  </si>
  <si>
    <t xml:space="preserve">ATTENTIVE SMS BANK: Evergreen SMS opt-in offer - 15% off </t>
  </si>
  <si>
    <t>SU2025-TC-EVERGREEN-ATTENTIVESMS-15OFF</t>
  </si>
  <si>
    <t>this is NOT bound to new customers</t>
  </si>
  <si>
    <t>Yes confirmed 4/29</t>
  </si>
  <si>
    <t>Katie Gallagher</t>
  </si>
  <si>
    <t>Prospecting Direct Mail - 15% Off Your First Order</t>
  </si>
  <si>
    <t>Final Sale and Clearance, 1 time use per customer, not stackable, new customers only</t>
  </si>
  <si>
    <t>SU2025-TC-DIRECTMAIL-PROSPECTING</t>
  </si>
  <si>
    <t>15% off your first order with unique code. Valid through 7/31/2025 at 11:59PM PST. Unique code must be entered at checkout for discount. Exclusions apply including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</si>
  <si>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Retention Direct Mail - 15% Off Your First Order</t>
  </si>
  <si>
    <t>Final Sale and Clearance, 1 time use per customer, not stackable</t>
  </si>
  <si>
    <t>SU2025-TC-DIRECTMAIL-RETENTION</t>
  </si>
  <si>
    <t>15% off your order with unique code. Valid through 7/31/2025 at 11:59PM PST. Unique code must be entered at checkout for discount. Exclusions apply including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</si>
  <si>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Yes confirmed 5/6</t>
  </si>
  <si>
    <t>Extra 15% off Clearance (Memorial Day)</t>
  </si>
  <si>
    <t>SALE15</t>
  </si>
  <si>
    <t>SU2025-TC-EMAIL-SALE15</t>
  </si>
  <si>
    <t>Extra 15% off Clearance with code SALE15. Valid through 11:59pm PT on 5/21/2025. Discount taken at checkout with code SALE15 on qualifying products. Offer cannot be combined with additional coupon offers or codes. Cannot be applied to previous purchases, no price adjustments. Not valid on Final Sale, shipping or taxes. Not redeemable for gift cards, cash, credit, or towards previous purchases. Hanna Andersson reserves the right to modify or cancel this offer at any time.</t>
  </si>
  <si>
    <t>Extra 15% off Order (Memorial Day)</t>
  </si>
  <si>
    <t>MDW15</t>
  </si>
  <si>
    <t>SU2025-TC-EMAIL-MDW15</t>
  </si>
  <si>
    <t>Extra 15% off your order with code MDW15 at checkout. Valid on a single purchase through 11:59pm PT on 5/25/2025. Offer cannot be combined with other promotion codes and offers. Cannot be applied to previous purchase, no price adjustments. Not valid on select items: Final Sale, shipping or taxes. Not redeemable for gift cards, cash, credit, or towards previous purchases. Hanna Andersson reserves the right to modify or cancel this offer at any time.</t>
  </si>
  <si>
    <t>Holly updated existing CCC Q2 shipping appeasement code from $5 to $7.50 for 5/13 go live!</t>
  </si>
  <si>
    <t>Extra 20% off Order (Memorial Day)</t>
  </si>
  <si>
    <t>MDW20</t>
  </si>
  <si>
    <t>SU2025-TC-EMAIL-MDW20</t>
  </si>
  <si>
    <t>Extra 20% off your order with code MDW20 at checkout. Valid on a single purchase through 11:59pm PT on 5/25/2025. Offer cannot be combined with other promotion codes and offers. Cannot be applied to previous purchase, no price adjustments. Not valid on select items: Final Sale, shipping or taxes. Not redeemable for gift cards, cash, credit, or towards previous purchases. Hanna Andersson reserves the right to modify or cancel this offer at any time.</t>
  </si>
  <si>
    <t>Yes confirmed 6/6</t>
  </si>
  <si>
    <t>Extra 15% off Order (Gated to Loyalty Only)</t>
  </si>
  <si>
    <t>REWARD15</t>
  </si>
  <si>
    <t>SU2025-TC-LOYALTY-MEMBER15</t>
  </si>
  <si>
    <t>Extra 15% off your order for Members only with code REWARD15 at checkout. Valid through 11:59pm PT on 6/26/2025. Must be logged into account to redeem offer. Offer cannot be combined with other promotion codes and offers. Cannot be applied to previous purchase, no price adjustments. Eligible to customers with US shipping and billing address only. Not valid on select items: Final Sale, shipping or taxes. Not redeemable for gift cards, cash, credit, or towards previous purchases. Hanna Andersson reserves the right to modify or cancel this offer at any time.</t>
  </si>
  <si>
    <t>Brenna Woodruff</t>
  </si>
  <si>
    <t>Extra 25% off All Bluey</t>
  </si>
  <si>
    <t>Bluey25</t>
  </si>
  <si>
    <t>SU2025-TC-EMAIL-BLUEY25</t>
  </si>
  <si>
    <t>25% off select Bluey products with code BLUEY25. Valid through 6/18/25 at 11:59PM PST. Discount taken with code at checkout. Cannot be combined with other offers or applied to previous purchases. Excludes Hanna-Me-Downs resale transactions. Not valid on final sale, giftcards, shipping or taxes. To redeem, enter code in the promo code box during checkout. Cannot be combined with other offers. Not redeemable for gift cards, cash, credit, or towards previous purchases. Not valid to international customers. Hanna Andersson reserves the right to modify or cancel this offer at any time.</t>
  </si>
  <si>
    <t>Extra 25% off All Princess &amp; Frozen (Disney)</t>
  </si>
  <si>
    <t>Royal25</t>
  </si>
  <si>
    <t>SU2025-TC-EMAIL-ROYAL25</t>
  </si>
  <si>
    <t>25% off select Disney Princess &amp; Frozen products with code ROYAL25. Valid through 6/20/25 at 11:59PM PST. Discount taken with code at checkout. Cannot be combined with other offers or applied to previous purchases. Excludes Hanna-Me-Downs resale transactions. Not valid on final sale, giftcards, shipping or taxes. To redeem, enter code in the promo code box during checkout. Cannot be combined with other offers. Not redeemable for gift cards, cash, credit, or towards previous purchases. Not valid to international customers. Hanna Andersson reserves the right to modify or cancel this offer at any time.</t>
  </si>
  <si>
    <t>Yes confirmed 6/16</t>
  </si>
  <si>
    <t>Extra 15% off Orders</t>
  </si>
  <si>
    <t>PRIME15</t>
  </si>
  <si>
    <t>Final Sale &amp; Clearance</t>
  </si>
  <si>
    <t>SU2025-TC-AFFILIATE-PRIME15</t>
  </si>
  <si>
    <t>Extra 15% off your order with code PRIME15. Valid through 711/25 at 11:59 pm PST. Discount taken with code PRIME15 at checkout on qualifying orders. Cannot be combined with other offers or applied to previous purchases. Excludes Hanna-Me-Downs resale transactions. Not valid on final sale, clearance, giftcards, shipping or taxes. Eligible to customers with US shipping and billing address only. To redeem, enter code in the promo code box during checkout. Can not be combined with other codes. Not redeemable for gift cards, cash, credit, or towards previous purchases. Hanna Andersson reserves the right to modify or cancel this offer at any time.</t>
  </si>
  <si>
    <t>Yes confirmed 7/7</t>
  </si>
  <si>
    <t>Extra 20% off $125+ (New customers only)</t>
  </si>
  <si>
    <t>ENJOY20</t>
  </si>
  <si>
    <t>FA2025-TC-AFFILIATE-ENJOY20</t>
  </si>
  <si>
    <t>Extra 20% off your purchase of $125 or more with code  ENJOY20. Valid through 8/20/25 at 11:59 pm PST. Discount taken with code at checkout on qualifying orders. Cannot be combined with other offers or applied to previous purchases. Excludes Hanna-Me-Downs resale transactions. Not valid on Final Sale, Clearance, giftcards, shipping or taxes. To redeem, enter code in the promo code box during checkout. Can not be combined with other codes. Not redeemable for gift cards, cash, credit, or towards previous purchases. Hanna Andersson reserves the right to modify or cancel this offer at any time.</t>
  </si>
  <si>
    <t>Sam Fama</t>
  </si>
  <si>
    <t>15% off order for customers leaving a review</t>
  </si>
  <si>
    <t>Final Sale &amp; Clearnace</t>
  </si>
  <si>
    <t>FA25-TC-SITE-REVIEW15</t>
  </si>
  <si>
    <t>15% off order. Valid through 7/15/2026 at 11:59PM PST. Unique code must be entered at checkout for discount. Exclusions apply including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</si>
  <si>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This is similar to welcome promotion</t>
  </si>
  <si>
    <t>FA25-TC-DIRECTMAIL-PROSPECT15</t>
  </si>
  <si>
    <t>15% off your first order with unique code. Valid through 9/30/2025 at 11:59PM PST. Unique code must be entered at checkout for discount. Exclusions apply including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</si>
  <si>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Steven Mencos</t>
  </si>
  <si>
    <t>Bobbie 20% off order</t>
  </si>
  <si>
    <t>Bobbie20</t>
  </si>
  <si>
    <t>Excluding final sale</t>
  </si>
  <si>
    <t>FA2025-TC-INFLUENCER-BOBBIE20</t>
  </si>
  <si>
    <t>Extra 20% off your order with code BOBBIE20. Valid through 9/11/25 at 11:59 pm PST. Discount taken with code at checkout. Cannot be combined with other offers or applied to previous purchases. Excludes Hanna-Me-Downs resale transactions. Not valid on final sale, giftcards, shipping or taxes. Only valid to those with a US shipping and billing address. Limit of one use per customer, can not be combined with other offers. Not redeemable for gift cards, cash, credit, or towards previous purchases. Not valid to international customers. Hanna Andersson reserves the right to modify or cancel this offer at any time.</t>
  </si>
  <si>
    <t>Coterie 20% off order</t>
  </si>
  <si>
    <t>Coterie20</t>
  </si>
  <si>
    <t>FA2025-TC-INFLUENCER-COTERIE20</t>
  </si>
  <si>
    <t>Extra 20% off your order with code COTERIE20. Valid through 9/11/25 at 11:59 pm PST. Discount taken with code at checkout. Cannot be combined with other offers or applied to previous purchases. Excludes Hanna-Me-Downs resale transactions. Not valid on final sale, giftcards, shipping or taxes. Only valid to those with a US shipping and billing address. Limit of one use per customer, can not be combined with other offers. Not redeemable for gift cards, cash, credit, or towards previous purchases. Not valid to international customers. Hanna Andersson reserves the right to modify or cancel this offer at any time.</t>
  </si>
  <si>
    <t>Yes confirmed 7/24</t>
  </si>
  <si>
    <t>20% off New Customer (Welcome Code Bank)</t>
  </si>
  <si>
    <t>FA2025-TC-WELCOME-20OFF</t>
  </si>
  <si>
    <t>20% off order for new Customers: Discount taken with unique code entry at checkout. Code entry provided on site upon clicking from this email. Cannot be applied to previous purchases. Valid for two weeks from receipt. Not valid on select items: clearance, final sale, giftcards, shipping or taxes. Limit of one per customer, cannot be combined with other offers or sitewide promotions, other exclusions may apply, see site for details. To redeem, enter code in the promo code box during checkout. Not redeemable for gift cards, cash, credit, or towards previous purchases. Hanna Andersson reserves the right to modify or cancel this offer at anytime.</t>
  </si>
  <si>
    <t xml:space="preserve">ATTENTIVE SMS BANK: Evergreen SMS opt-in offer - 20% off </t>
  </si>
  <si>
    <t>FA2025-TC-EVERGREEN-ATTENTIVESMS-20OFF</t>
  </si>
  <si>
    <t xml:space="preserve">20% off for new Customers: Discount taken with unique code entry at checkout. Code entry provided on site upon clicking from this SMS. Cannot be applied to previous purchases. Valid for two weeks from receipt. Not valid on select items: clearance, final sale, giftcards, shipping or taxes. Limit of one per customer, cannot be combined with other offers or sitewide promotions, other exclusions may apply, see site for details. To redeem, enter code in the promo code box during checkout. Not redeemable for gift cards, cash, credit, or towards previous purchases. Hanna Andersson reserves the right to modify or cancel this offer at anytime. </t>
  </si>
  <si>
    <t>this is NOT bound to new customers. PLEASE MAKE SURE THIS IS LABELED AS AN EVERGREEN BANK</t>
  </si>
  <si>
    <t>20% off New Customer (BloomReach Bank)</t>
  </si>
  <si>
    <t>FA2025-TC-NEWCUSTOMER-BLOOMREACH-20OFF</t>
  </si>
  <si>
    <t>New Bank to top off anyone who qualified for offer before we switch the %-off</t>
  </si>
  <si>
    <t>Prospecting Direct Mail - 20% Off Your First Order</t>
  </si>
  <si>
    <t>FA2025-TC-DIRECTMAIL-PROSPECTING</t>
  </si>
  <si>
    <t>20% off your first order with unique code. Valid through 10/30/2025 at 11:59PM PST. Unique code must be entered at checkout for discount. Exclusions apply including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</si>
  <si>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Dusen Dusen 30% off order</t>
  </si>
  <si>
    <t>2-time use</t>
  </si>
  <si>
    <t>HANNALOVESDUSENDUSEN</t>
  </si>
  <si>
    <t>Clearance and Final Sale, not stackable</t>
  </si>
  <si>
    <t>FA2025-TC-EMPLOYEE-HANNALOVESDUSENDUSEN</t>
  </si>
  <si>
    <t>Extra 30% off your order with code HANNALOVESDUSENDUSEN. Valid through 9/14/25 at 11:59 pm PST. Discount taken with code at checkout. Valid for on two purchases per customer. Cannot be combined with other offers or applied to previous purchases. Excludes Hanna-Me-Downs resale transactions. Not valid on clearance and final sale, giftcards, shipping or taxes. Only valid to those with a US shipping and billing address. Limit of one use per customer, can not be combined with other offers. Not redeemable for gift cards, cash, credit, or towards previous purchases. Not valid to international customers. Hanna Andersson reserves the right to modify or cancel this offer at any time.</t>
  </si>
  <si>
    <t>Teacher Appreciation 20% off sitewide</t>
  </si>
  <si>
    <t>TEACHER20</t>
  </si>
  <si>
    <t>FA2025-TC-ORGANICSOCIAL-TEACHER20</t>
  </si>
  <si>
    <t>20% off your order with code TEACHER20. Valid through 10/3/2025 at 11:59PM PST. Unique code must be entered at checkout for discount. One use per customer. Exclusions include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</si>
  <si>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Hidden Pigeon 20% off sitewide</t>
  </si>
  <si>
    <t>single Use</t>
  </si>
  <si>
    <t>HPC20</t>
  </si>
  <si>
    <t>FA2025-TC-EMPLOYEE-HPC20</t>
  </si>
  <si>
    <t>Extra 20% off your order with code HPC20. Valid through 10/5/25 at 11:59 pm PST. Discount taken with code at checkout. Valid for on two purchases per customer. Cannot be combined with other offers or applied to previous purchases. Excludes Hanna-Me-Downs resale transactions. Not valid on clearance and final sale, giftcards, shipping or taxes. Only valid to those with a US shipping and billing address. Limit of one use per customer, can not be combined with other offers. Not redeemable for gift cards, cash, credit, or towards previous purchases. Not valid to international customers. Hanna Andersson reserves the right to modify or cancel this offer at any time.</t>
  </si>
  <si>
    <t>Yes confirmed 8/26</t>
  </si>
  <si>
    <t>Customer Survey - 15% Off sitewide</t>
  </si>
  <si>
    <t>SURVEY15</t>
  </si>
  <si>
    <t>FA2025-TC-EMAIL-SURVEY15</t>
  </si>
  <si>
    <t>15% off your order with code SURVEY15. Valid through 10/3/2025 at 11:59PM PST. Unique code must be entered at checkout for discount. One use per customer. Exclusions include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</si>
  <si>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HOL25-TC-DIRECTMAIL-PROSPECTNEW</t>
  </si>
  <si>
    <t>15% off your first order with your unique code. Valid through 11/22/2025 at 11:59PM PST. Unique code must be entered at checkout for discount. Exclusions include Clearance and Final Sale. Not valid with other offers or codes. Cannot be applied to previous purchases, no price adjustments. Only eligible to those with a US billing and shipping address. Offer does not apply to shipping or taxes. Not redeemable for gift cards, cash, or credit. Hanna Andersson reserves the right to modify or cancel this offer at any time.</t>
  </si>
  <si>
    <t>Prospecting Direct Mail - 15% Off Your Order</t>
  </si>
  <si>
    <t>HOL25-TC-DIRECTMAIL-PROSPECTEXISTING</t>
  </si>
  <si>
    <t>15% off your order with your unique code. Valid through 11/22/2025 at 11:59PM PST. Unique code must be entered at checkout for discount. Exclusions include Clearance and Final Sale. Not valid with other offers or codes. Cannot be applied to previous purchases, no price adjustments. Only eligible to those with a US billing and shipping address. Offer does not apply to shipping or taxes. Not redeemable for gift cards, cash, or credit. Hanna Andersson reserves the right to modify or cancel this offer at any time.</t>
  </si>
  <si>
    <t>Yes confirmed 9.18</t>
  </si>
  <si>
    <t>Ling Luke</t>
  </si>
  <si>
    <t>Brand Marketing Direct Mail - Holiday 2025 - 20% Off</t>
  </si>
  <si>
    <t>HOL2025-TC-BRANDMARKETING-20OFF</t>
  </si>
  <si>
    <t>20% off your order with your unique code. Valid through 12/24/2025 at 11:59PM PST. Unique code must be entered at checkout for discount. Exclusions include Clearance and Final Sale. Not valid with other offers or codes. Cannot be applied to previous purchases, no price adjustments. Only eligible to those with a US billing and shipping address. Offer does not apply to shipping or taxes. Not redeemable for gift cards, cash, or credit. Hanna Andersson reserves the right to modify or cancel this offer at any time.</t>
  </si>
  <si>
    <t>HOL2025-TC-BRANDMARKETING-20OFF-BATCH2</t>
  </si>
  <si>
    <t>Email - Extra 15% off Order. People who have bought Halloween last 2 years, but not this year + Halloween Browsers not buyers TY</t>
  </si>
  <si>
    <t>TREAT15</t>
  </si>
  <si>
    <t>HOL25-TC-EMAIL-TREAT15</t>
  </si>
  <si>
    <t>Extra 15% off your order with code TREAT15. Valid through 10/1/2025 at 11:59PM PST. Unique code must be entered at checkout for discount. One use per customer. Exclusions include Clearance and Final Sale. Not valid with other offers or codes. Cannot be applied to previous purchases, no price adjustments. Only valid to those with a US shipping and billing address. Offer does not apply to shipping or taxes. Not redeemable for gift cards, cash, or credit. Hanna Andersson reserves the right to modify or cancel this offer at any time.</t>
  </si>
  <si>
    <t>HOL25-TC-SITE-REVIEWSUNIQUE</t>
  </si>
  <si>
    <t>15% off order with unique code. Valid through 9/24/2026 at 11:59PM PST. Unique code must be entered at checkout for discount. Exclusions apply including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</si>
  <si>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This is similar to what we did last time</t>
  </si>
  <si>
    <t>Yes confirmed 10/16</t>
  </si>
  <si>
    <t>20% off $125+ (new customers only)</t>
  </si>
  <si>
    <t xml:space="preserve">FA2025-TC-AFFILIATE-ENJOY20 (reusing Fall version, updated dates!) </t>
  </si>
  <si>
    <t>Extra 20% off your purchase of $125 or more with code ENJOY20. Valid through 10/29/25 at 11:59 pm PST. Discount taken with code at checkout on qualifying orders. Cannot be combined with other offers or applied to previous purchases. Excludes Hanna-Me-Downs resale transactions. Not valid on Final Sale, Clearance, giftcards, shipping or taxes. To redeem, enter code in the promo code box during checkout. Can not be combined with other codes. Not redeemable for gift cards, cash, credit, or towards previous purchases. Hanna Andersson reserves the right to modify or cancel this offer at any time.</t>
  </si>
  <si>
    <t>20% off New Customers</t>
  </si>
  <si>
    <t>manually Applied</t>
  </si>
  <si>
    <t xml:space="preserve">no </t>
  </si>
  <si>
    <t>HOL2025-TC-AFFILIATE-HELLO20</t>
  </si>
  <si>
    <t>Extra 20% off your first purchase. Valid through 11/12/25 at 11:59 pm PST. Discount taken with code at checkout on qualifying orders. Cannot be combined with other offers or applied to previous purchases. Excludes Hanna-Me-Downs resale transactions. Not valid on Final Sale, Clearance, giftcards, shipping or taxes. Only valid to those billing and shipping within the US. To redeem, enter code in the promo code box during checkout. Can not be combined with other codes. Not redeemable for gift cards, cash, credit, or towards previous purchases. Hanna Andersson reserves the right to modify or cancel this offer at any time.</t>
  </si>
  <si>
    <t>CANCELLED</t>
  </si>
  <si>
    <t>Email - Extra 25% off Order. Purchased L24M, has NOT purchased YTD, email marketable</t>
  </si>
  <si>
    <t>SMS - Extra 25% off Order. Purchased L24M, has NOT purchased YTD, email marketable</t>
  </si>
  <si>
    <t>HOL2025-TC-DIRECTMAIL-RETENTION</t>
  </si>
  <si>
    <t>15% off your first order with unique code. Valid through 12/20/2025 at 11:59PM PST. Unique code must be entered at checkout for discount. Exclusions apply including Clearance and Final Sale. Not valid with other offers or codes. Cannot be applied to previous purchases, no price adjustments. Offer does not apply to shipping or taxes. Only valid to those with a US billing and shipping address. Not redeemable for gift cards, cash, or credit. Hanna Andersson reserves the right to modify or cancel this offer at any time.</t>
  </si>
  <si>
    <t>Capital One Exclusive: Extra 20% off Orders</t>
  </si>
  <si>
    <t>CAPITALONE20</t>
  </si>
  <si>
    <t>HOL25-TC-AFFILIATE-CAPITALONE20</t>
  </si>
  <si>
    <t>Extra 20% off your order with code CAPITALONE20. Valid through 11/11/2025 at 11:59PM PST. Unique code must be entered at checkout for discount. One use per customer. Exclusions include Clearance and Final Sale. Not valid with other offers or codes. Cannot be applied to previous purchases, no price adjustments. Only valid to those with a US shipping and billing address. Offer does not apply to shipping or taxes. Not redeemable for gift cards, cash, or credit. Hanna Andersson reserves the right to modify or cancel this offer at any time.</t>
  </si>
  <si>
    <t>Do not gate to new customers</t>
  </si>
  <si>
    <t>HOL25-TC-AFFILIATE-CAPITALONEBATCH</t>
  </si>
  <si>
    <t>Extra 20% off your order with unique code. Valid through 11/12/2025 at 11:59PM PST. Unique code must be entered at checkout for discount. One use per customer. Exclusions include Clearance and Final Sale. Not valid with other offers or codes. Cannot be applied to previous purchases, no price adjustments. Only valid to those with a US shipping and billing address. Offer does not apply to shipping or taxes. Not redeemable for gift cards, cash, or credit. Hanna Andersson reserves the right to modify or cancel this offer at any time.</t>
  </si>
  <si>
    <t>Yes confirmed 10/23</t>
  </si>
  <si>
    <t>Collab Buyers &amp; Browsers L18M: 375K Email, 150K SMS
Also, marketed via secondary to all other email marketable customers</t>
  </si>
  <si>
    <t>FAV25</t>
  </si>
  <si>
    <t>HOL2025-TC-EMAIL-FAV25</t>
  </si>
  <si>
    <t>Extra 25% off collaborations. Valid through 11/10/2025 at 11:59PM PST. Discount count taken in cart with code FAV25. Not valid with other offers or codes. Cannot be applied to previous purchases, no price adjustments. Offer does not apply to shipping or taxes. Only applies to those billing and shipping within the US. Not redeemable for gift cards, cash, or credit. Hanna Andersson reserves the right to modify or cancel this offer at any time.</t>
  </si>
  <si>
    <t xml:space="preserve">Yes confirmed </t>
  </si>
  <si>
    <t>Peppa Marketing Launch for New Customers</t>
  </si>
  <si>
    <t>Single Use, max 500, new customer to Hanna only</t>
  </si>
  <si>
    <t>PEPPA20</t>
  </si>
  <si>
    <t>HOL25-TC-BRANDMARKETING-PEPPA20</t>
  </si>
  <si>
    <t>Extra 20% off your order with code PEPPA20. Valid through 12/8/2025 at 11:59PM PST. Unique code must be entered at checkout for discount. One use per customer. Exclusions include Clearance and Final Sale. Not valid with other offers or codes. Cannot be applied to previous purchases, no price adjustments. Only valid to those with a US shipping and billing address. Offer does not apply to shipping or taxes. Not redeemable for gift cards, cash, or credit. Hanna Andersson reserves the right to modify or cancel this offer at any time.</t>
  </si>
  <si>
    <t>Please make sure max is 500 customers and new customers to Hanna only; this will promoted on Peppa Pig's social media as a 5 day discount</t>
  </si>
  <si>
    <t>Yes confirmed 10/31</t>
  </si>
  <si>
    <t>20% Off Clearance Items (Applicable to Clearance Only). Same construct as DEAL20 Contingency just creating a new code name so that there is no numeric value in the code</t>
  </si>
  <si>
    <t>CYBER</t>
  </si>
  <si>
    <t xml:space="preserve">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</si>
  <si>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t>HOL25-TC-SITE-CYBER</t>
  </si>
  <si>
    <t>Extra 20% off Clearance items with code CYBER at checkout. Valid on qualifying items through 11:59pm PT on 12/1/2025.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</si>
  <si>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t>Yes confirmed 11/4</t>
  </si>
  <si>
    <t>15% off Welcome Code Bank - BLOOMREACH</t>
  </si>
  <si>
    <t>HOL25-TC-WELCOME-BLOOMREACH15</t>
  </si>
  <si>
    <t xml:space="preserve">15% off for new Customers: Discount taken with unique code entry at checkout. Code entry provided on site upon clicking from this email. Cannot be applied to previous purchases. Valid for two weeks from receipt. Not valid on select items: clearance, final sale, giftcards, shipping or taxes. Limit of one per customer, cannot be combined with other offers or sitewide promotions, other exclusions may apply, see site for details. To redeem, enter code in the promo code box during checkout. Not redeemable for gift cards, cash, credit, or towards previous purchases. Hanna Andersson reserves the right to modify or cancel this offer at anytime. </t>
  </si>
  <si>
    <t xml:space="preserve">this is NOT bound to being a new customer </t>
  </si>
  <si>
    <t>15% off Welcome Code Bank - ATTENTIVE</t>
  </si>
  <si>
    <t>HOL25-TC-WELCOME-ATTENTIVE15</t>
  </si>
  <si>
    <t>Yes confirmed 11/20</t>
  </si>
  <si>
    <t>Extra 20% off your first purchase of $125 or more with code ENJOY20. Valid through 12/25/25 at 11:59 pm PST. Discount taken with code at checkout on qualifying orders. Cannot be combined with other offers or applied to previous purchases. Excludes Hanna-Me-Downs resale transactions. Not valid on Final Sale, Clearance, giftcards, shipping or taxes. To redeem, enter code in the promo code box during checkout. Can not be combined with other codes. Not redeemable for gift cards, cash, credit, or towards previous purchases. Hanna Andersson reserves the right to modify or cancel this offer at any time.</t>
  </si>
  <si>
    <t>Kristen Sgarlata</t>
  </si>
  <si>
    <t xml:space="preserve">Extra 20% Off Characters </t>
  </si>
  <si>
    <t>FAV20</t>
  </si>
  <si>
    <t>HOL25-TC-PAIDSOCIAL-FAV20</t>
  </si>
  <si>
    <t>Extra 20% off collaborations. Valid through 11/23/2025 at 11:59PM PST. Discount count taken in cart with code FAV25. Not valid with other offers or codes. Cannot be applied to previous purchases, no price adjustments. Offer does not apply to Clearance, Final Sale, shipping or taxes. Only applies to those billing and shipping within the US. Not redeemable for gift cards, cash, or credit. Hanna Andersson reserves the right to modify or cancel this offer at any time.</t>
  </si>
  <si>
    <t>All Collab Divisions (Accessories, Apparel and Sleepwear) excluding Clearance/Final Sale</t>
  </si>
  <si>
    <t>Yes confirmed 11/28</t>
  </si>
  <si>
    <t>20% off Welcome Code Bank Replenishment - Bloomreach</t>
  </si>
  <si>
    <t>Clearance and Final Sale; 1-time use per customers, not stackable</t>
  </si>
  <si>
    <t>HOL2025-TC-WELCOME-20OFF</t>
  </si>
  <si>
    <t xml:space="preserve">20% off order for new Customers: Discount taken with unique code entry at checkout. Code entry provided on site upon clicking from this email. Cannot be applied to previous purchases. Valid for two weeks from receipt. Not valid on select items: clearance, final sale, giftcards, shipping or taxes. Limit of one per customer, cannot be combined with other offers or sitewide promotions, other exclusions may apply, see site for details. To redeem, enter code in the promo code box during checkout. Not redeemable for gift cards, cash, credit, or towards previous purchases. Hanna Andersson reserves the right to modify or cancel this offer at anytime. </t>
  </si>
  <si>
    <t>Top-off for pre-existing bank FA25_20OFF_Welcome</t>
  </si>
  <si>
    <t>Yes confirmed 12/4</t>
  </si>
  <si>
    <t>15% off - for Salesforce employees</t>
  </si>
  <si>
    <t>Single Use per customer, max 100 redemption total</t>
  </si>
  <si>
    <t>SALESFORCE15</t>
  </si>
  <si>
    <t>HOL25-TC-EMAIL-SALESFORCE15</t>
  </si>
  <si>
    <t>Extra 15% off your order with code SALESFORCE15 at checkout. Valid on a single purchase through 11:59pm PT on 12/25/2024. Offer cannot be combined with other promotion codes and offers. Cannot be applied to previous purchase, no price adjustments. Not valid on select items: Final Sale, Clearance, Shipping or taxes. Code is valid for one use per customer. Not redeemable for gift cards, cash, credit, or towards previous purchases. Hanna Andersson reserves the right to modify or cancel this offer at any time.</t>
  </si>
  <si>
    <t>15% off - for Avalara employees</t>
  </si>
  <si>
    <t>AVALARA15</t>
  </si>
  <si>
    <t>HOL25-TC-EMAIL-AVALARA15</t>
  </si>
  <si>
    <t>Extra 15% off your order with code AVALARA15 at checkout. Valid on a single purchase through 11:59pm PT on 12/25/2024. Offer cannot be combined with other promotion codes and offers. Cannot be applied to previous purchase, no price adjustments. Not valid on select items: Final Sale, Clearance, Shipping or taxes. Code is valid for one use per customer. Not redeemable for gift cards, cash, credit, or towards previous purchases. Hanna Andersson reserves the right to modify or cancel this offer at any time.</t>
  </si>
  <si>
    <t>50% off HannaSoft Style (82834) and Free Shipping</t>
  </si>
  <si>
    <t>WIRE50, WIRESHIP</t>
  </si>
  <si>
    <t>Only applicable for style ID: 82834 (Women's Long Sleeve Pajama Set in HannaSoft™)</t>
  </si>
  <si>
    <t>HOL25-TC-AFFILIATE-WIRE50
 HOL25-TC-AFFILIATE-WIRESHIP</t>
  </si>
  <si>
    <t>Extra 50% off Women's Long Sleeve Pajama Set in HannaSoft™ with code WIRE50 at checkout. Valid on qualifying items through 11:59pm PT on 12/15/2025. Offer cannot be combined with other offers. Cannot be applied to previous purchase, no price adjustments. Only valid to those with a US shipping and billing address. Not valid on select items: shipping or taxes. Not redeemable for gift cards, cash, credit, or towards previous purchases. Hanna Andersson reserves the right to modify or cancel this offer at any time.</t>
  </si>
  <si>
    <t>20% off Welcome Code Bank Replenishment - Attentive</t>
  </si>
  <si>
    <t>FA2025-TC-ATTENTIVE-20OFF-REPLENISH</t>
  </si>
  <si>
    <t>20% off order: Discount taken with unique code entry at checkout. Code entry provided on site upon clicking from this SMS. Cannot be applied to previous purchases. Valid for two weeks from receipt. Not valid on select items: clearance, final sale, giftcards, shipping or taxes. Limit of one per customer, cannot be combined with other offers or sitewide promotions, other exclusions may apply, see site for details. To redeem, enter code in the promo code box during checkout. Not redeemable for gift cards, cash, credit, or towards previous purchases. Hanna Andersson reserves the right to modify or cancel this offer at anytime.</t>
  </si>
  <si>
    <t>Yes confirmed 1/8 - update date and quantity to semi-annual instead of quarterly</t>
  </si>
  <si>
    <t>SP2026-TC-CCC-20OFF100</t>
  </si>
  <si>
    <t>SP2026-TC-CCC-10OFFORDER</t>
  </si>
  <si>
    <t>SP2026-TC-CCC-25OFFORDER</t>
  </si>
  <si>
    <t>SP2026-TC-CCC-750FREESHIP</t>
  </si>
  <si>
    <t>SP2026-TC-CCC-10REWARD</t>
  </si>
  <si>
    <t>SP2026-TC-CCC-15OFFORDER</t>
  </si>
  <si>
    <t>SP2026-TC-CCC-20OFFORDER</t>
  </si>
  <si>
    <t>SP2026-TC-PS-20OFF100</t>
  </si>
  <si>
    <t>SP2026-TC-PS-10OFFORDER</t>
  </si>
  <si>
    <t>SP2026-TC-PS-25OFFORDER</t>
  </si>
  <si>
    <t>SP2026-TC-PS-15OFFORDER</t>
  </si>
  <si>
    <t>SP2026-TC-PS-20OFFORDER</t>
  </si>
  <si>
    <t>FA2026-TC-CCC-20OFF100</t>
  </si>
  <si>
    <t>FA2026-TC-CCC-10OFFORDER</t>
  </si>
  <si>
    <t>FA2026-TC-CCC-25OFFORDER</t>
  </si>
  <si>
    <t>FA2026-TC-CCC-750FREESHIP</t>
  </si>
  <si>
    <t>FA2026-TC-CCC-10REWARD</t>
  </si>
  <si>
    <t>FA2026-TC-CCC-15OFFORDER</t>
  </si>
  <si>
    <t>FA2026-TC-CCC-20OFFORDER</t>
  </si>
  <si>
    <t>FA2026-TC-PS-20OFF100</t>
  </si>
  <si>
    <t>FA2026-TC-PS-10OFFORDER</t>
  </si>
  <si>
    <t>FA2026-TC-PS-25OFFORDER</t>
  </si>
  <si>
    <t>FA2026-TC-PS-15OFFORDER</t>
  </si>
  <si>
    <t>FA2026-TC-PS-20OFFORDER</t>
  </si>
  <si>
    <t>Yes confirmed 1/8</t>
  </si>
  <si>
    <t>SP2026-TC-PS-VIPCARDS</t>
  </si>
  <si>
    <t>10% off your entire order with unique code. Valid through 1/30/27 at 11:59pm PST. Discount taken with code at checkout. Cannot be combined with other offers, codes, or applied to previous purchases. One use per customer. Not redeemable for gift cards, cash, credit, or towards previous purchases. Hanna Andersson reserves the right to modify or cancel this offer at any time.</t>
  </si>
  <si>
    <t>Yes confirmed 1/20</t>
  </si>
  <si>
    <t>affiliate</t>
  </si>
  <si>
    <t>20% off new customers</t>
  </si>
  <si>
    <t>FA2025-TC-AFFILIATE-ENJOY20 (reusing old coupon ID)</t>
  </si>
  <si>
    <t>Extra 20% off your first purchase or more with code ENJOY20. Valid through 2/23/26 at 11:59 pm PST. Discount taken with code at checkout on qualifying orders. Cannot be combined with other offers or applied to previous purchases. Excludes Hanna-Me-Downs resale transactions. Not valid on Final Sale, Clearance, giftcards, shipping or taxes. To redeem, enter code in the promo code box during checkout. Can not be combined with other codes. Not redeemable for gift cards, cash, credit, or towards previous purchases. Hanna Andersson reserves the right to modify or cancel this offer at any time.</t>
  </si>
  <si>
    <t>Yes confirmed 1/22</t>
  </si>
  <si>
    <t>$25 Valentine's HannaJams Pajama Set (47681)</t>
  </si>
  <si>
    <t>WCVDAY</t>
  </si>
  <si>
    <t>Only applicable for style ID 47681 (Valentine's HannaJams™ Pajama Set)</t>
  </si>
  <si>
    <t>SP2026-TC-AFFILIATE-WCVDAY</t>
  </si>
  <si>
    <t>$25 PJs Wirecutter Exclusive. Only applicable for style ID 47681 (Valentine's HannaJams™ Pajama Set) with unique code. Valid through 2/10/27 at 11:59pm PST. Discount taken with code at checkout. Cannot be combined with other offers, codes, or applied to previous purchases. One use per customer. Not redeemable for gift cards, cash, credit, or towards previous purchases. Hanna Andersson reserves the right to modify or cancel this offer at any time.</t>
  </si>
  <si>
    <t>Yes confirmed 1/11 over email between Aimee/Kacey/Lisa</t>
  </si>
  <si>
    <t>Jordan Cordiner</t>
  </si>
  <si>
    <t>Holiday Reactivation Campaign - $10 off (no thresh)</t>
  </si>
  <si>
    <t>SP2026-TC-EMAIL-HRC-NOTHRESH</t>
  </si>
  <si>
    <t>Valid through 11:59pm PT on 2/24/2026.  Discount taken with code at checkout. Cannot be combined with other offers or applied to previous purchases.  Not valid on select items: Clearance, Final Sale, giftcards, 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</si>
  <si>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Should only be redeemable 2/23 - 2/24</t>
  </si>
  <si>
    <t>Holiday Reactivation Campaign - $10 off ($50 thresh)</t>
  </si>
  <si>
    <t>SP2026-TC-EMAIL-HRC-WITHTHRESH</t>
  </si>
  <si>
    <t>Valid through 11:59pm PT on 2/24/2026.  Discount taken with code at checkout with a purchase of $50 or more. Cannot be combined with other offers or applied to previous purchases.  Not valid on select items: Clearance, Final Sale, giftcards, 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</si>
  <si>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Yes Kacey confirmed in email 2/13</t>
  </si>
  <si>
    <t>MARCH20</t>
  </si>
  <si>
    <t>SP2026-TC-AFFILIATE-MARCH20</t>
  </si>
  <si>
    <t>Extra 20% off your purchase of $125 or more for new customers only with code MARCH20. Valid through 3/29/26 at 11:59 pm PST. Discount taken with code MARCH20 at checkout on qualifying orders. Cannot be combined with other offers or applied to previous purchases. Excludes Hanna-Me-Downs resale transactions. Not valid on final sale, clearance, giftcards, shipping or taxes. To redeem, enter code in the promo code box during checkout. Can not be combined with other codes. Not redeemable for gift cards, cash, credit, or towards previous purchases. Hanna Andersson reserves the right to modify or cancel this offer at any time.</t>
  </si>
  <si>
    <t>Yes 2/13/26</t>
  </si>
  <si>
    <t>no end date</t>
  </si>
  <si>
    <t>Ester Johnson</t>
  </si>
  <si>
    <t>Aimee extra 20% off, stackable with other red lines and other coupons</t>
  </si>
  <si>
    <t>n/a</t>
  </si>
  <si>
    <t>Excl Final Sale</t>
  </si>
  <si>
    <t>SP2026-TC-BRANDMARKETING-BIZCARDS</t>
  </si>
  <si>
    <t>20% off purchase. Discount applied at checkout with a unique promo code. One use per code. Not valid on prior purchases or on final sale items, gift cards, shipping, or taxes. Offer has no cash or credit value. Hanna Andersson reserves the right to modify or cancel this offer at any time.</t>
  </si>
  <si>
    <t>20% off purchase. Discount applied at checkout with a unique promo code. One use per code. Not valid on prior purchases or on final sale items, gift cards, shipping, or taxes. Offer has no cash or credit value. Hanna Andersson reserves the right to modify or cancel this offer at any time.</t>
  </si>
  <si>
    <t>Yes Kacey confirmed in email 2/23</t>
  </si>
  <si>
    <t>Spring Direct Mail - New Customer 20% Off Order</t>
  </si>
  <si>
    <t>SP2026-TC-DIRECTMAIL-SPRINGNEW</t>
  </si>
  <si>
    <t>20% off your order with your unique code for new customers only. Valid through 5/15/2026 at 11:59PM PST. Code must be entered at checkout for discount. Exclusions may apply including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</si>
  <si>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Spring Direct Mail - Existing Customer 15% Off Order</t>
  </si>
  <si>
    <t>SP2026-TC-DIRECTMAIL-SPRINGEXISTING</t>
  </si>
  <si>
    <t>15% off your order with your unique code. Valid through 5/15/2026 at 11:59PM PST. Code must be entered at checkout for discount. Exclusions may apply including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</si>
  <si>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Yes approved in P&amp;P</t>
  </si>
  <si>
    <t>FA2025-TC-AFFILIATE-ENJOY20  </t>
  </si>
  <si>
    <t>Extra 20% off your first purchase of $125 or more with code ENJOY20. Valid through 4/20/26 at 11:59 pm PST. Discount taken with code at checkout on qualifying orders. Cannot be combined with other offers or applied to previous purchases. Excludes Hanna-Me-Downs resale transactions. Not valid on Final Sale, Clearance, giftcards, shipping or taxes. To redeem, enter code in the promo code box during checkout. Can not be combined with other codes. Not redeemable for gift cards, cash, credit, or towards previous purchases. Hanna Andersson reserves the right to modify or cancel this offer at any time.</t>
  </si>
  <si>
    <t>May the 4th Be With You: Extra 25% off Star Wars</t>
  </si>
  <si>
    <t>GROGU</t>
  </si>
  <si>
    <t>SU2026-TC-EMAIL-GROGU</t>
  </si>
  <si>
    <t>Extra 25% off Star Wars product with code GROGU. Valid one day only through 5/4/26 at 11:59PM PST. Discount taken with code GROGU at checkout. Cannot be combined with other offers or applied to previous purchases. Excludes Hanna-Me-Downs resale transactions. Not valid on final sale, giftcards, shipping or taxes. To redeem, enter code in the promo code box during checkout. Limit of one use per customer, cannot be combined with other offers. Not redeemable for gift cards, cash, credit, or towards previous purchases. Not valid to international customers. Hanna Andersson reserves the right to modify or cancel this offer at any time.</t>
  </si>
  <si>
    <t>Yes approved by Aimée in P&amp;P Tue April 7</t>
  </si>
  <si>
    <t>All Unders 40% Off</t>
  </si>
  <si>
    <t>UNDER40</t>
  </si>
  <si>
    <t>SU2026-TC-EMAIL-UNDER40</t>
  </si>
  <si>
    <t>Extra 40% off all Unders with code UNDER40. Valid through 11:59pm PT on 4/19/2026. Discount taken at checkout with code UNDER40 on qualifying products. Offer cannot be combined with additional coupon offers or codes. Cannot be applied to previous purchases, no price adjustments. Eligible to customers with US shipping and billing address only. Not valid on Clearance, Final Sale, shipping or taxes. Not redeemable for gift cards, cash, credit, or towards previous purchases. Hanna Andersson reserves the right to modify or cancel this offer at any time.</t>
  </si>
  <si>
    <t>Yes approved 4/22</t>
  </si>
  <si>
    <t>SU2025-TC-AFFILIATE-MAY15 (reusing old coupon ID)</t>
  </si>
  <si>
    <t>Extra 15% off your first order of $125 or more with code MAY15 for new customers. Valid through 11:59pm PT on 5/13/2026. Discount taken at checkout with code MAY15. Offer cannot be combined with additional coupon offers or codes. Cannot be applied to previous purchase, no price adjustments. Not valid on select items: Clearance, Final Sale, shipping or taxes. Not redeemable for gift cards, cash, credit, or towards previous purchases. Hanna Andersson reserves the right to modify or cancel this offer at any time.</t>
  </si>
  <si>
    <t>15% off $150+ (new customers only)</t>
  </si>
  <si>
    <t>FA2024-TC-AFFILIATE-ENJOY15 (reusing old coupon ID)</t>
  </si>
  <si>
    <t>Extra 15% off your purchase of $150 or more for new customers only. Valid through 6/8/26 at 11:59 pm PST. Discount taken with code at checkout on qualifying orders. Cannot be combined with other offers or applied to previous purchases. Excludes Hanna-Me-Downs resale transactions. Not valid on final sale, clearance, giftcards, shipping or taxes. To redeem, enter code in the promo code box during checkout. Can not be combined with other codes. Not redeemable for gift cards, cash, credit, or towards previous purchases. Hanna Andersson reserves the right to modify or cancel this offer at any time.</t>
  </si>
  <si>
    <t>10% off $125+ (new customers only)</t>
  </si>
  <si>
    <t>ENJOY10</t>
  </si>
  <si>
    <t>Clearance and Final Sale; 1-time use per customers; not stackable</t>
  </si>
  <si>
    <t>SU2026-TC-AFFILIATE-ENJOY10</t>
  </si>
  <si>
    <t>Extra 10% off your first purchase of $125 or more with code ENJOY10. Valid through 6/12/26 at 11:59 pm PST. Discount taken with code at checkout on qualifying orders. Cannot be combined with other offers or applied to previous purchases. Excludes Hanna-Me-Downs resale transactions. Not valid on Final Sale, Clearance, giftcards, shipping or taxes. To redeem, enter code in the promo code box during checkout. Can not be combined with other codes. Not redeemable for gift cards, cash, credit, or towards previous purchases. Hanna Andersson reserves the right to modify or cancel this offer at any time.</t>
  </si>
  <si>
    <t>confirmed 6/16</t>
  </si>
  <si>
    <t>Excludes Final Sale.</t>
  </si>
  <si>
    <t>SU2025-TC-AFFILIATE-PRIME15 (reusing old coupin ID)</t>
  </si>
  <si>
    <t>Extra 15% off your order with code PRIME15. Valid through 6/26/26 at 11:59 pm PST. Discount taken with code PRIME15 at checkout on qualifying orders. Cannot be combined with other offers or applied to previous purchases. Excludes Hanna-Me-Downs resale transactions. Not valid on final sale, clearance, giftcards, shipping or taxes. Eligible to customers with US shipping and billing address only. To redeem, enter code in the promo code box during checkout. Can not be combined with other codes. Not redeemable for gift cards, cash, credit, or towards previous purchases. Hanna Andersson reserves the right to modify or cancel this offer at any time.</t>
  </si>
  <si>
    <t>Sitewide</t>
  </si>
  <si>
    <t>$1 Pet Johns</t>
  </si>
  <si>
    <t>PETS</t>
  </si>
  <si>
    <t xml:space="preserve">Clearance/Final Sale items will be suppressed, can all apply to </t>
  </si>
  <si>
    <t>SU2026-TC-SITE-PETS</t>
  </si>
  <si>
    <t>$1 pet bandanas with code PETS. Valid on a single purchase through 11:59pm PT on 7/10/2026. Only applies to 1 pet bandana per order, while supplies last. Discount taken at checkout with code PETS on qualifying productsCannot be applied to previous purchase, no price adjustments. Only valid to those with a US shipping and billing address. Not valid on select items: shipping or taxes. Not redeemable for gift cards, cash, credit, or towards previous purchases. Hanna Andersson reserves the right to modify or cancel this offer at any time.</t>
  </si>
  <si>
    <t>Marketing Channels</t>
  </si>
  <si>
    <t>All Unders 50% Off</t>
  </si>
  <si>
    <t>UNDER50</t>
  </si>
  <si>
    <t>FA2026-TC-SITE-UNDER50</t>
  </si>
  <si>
    <t>Extra 50% off all underwear with code UNDER50. Valid through 8/2/26 at 11:59PM PST. Discount taken with code UNDER50 at checkout. Cannot be combined with other offers or applied to previous purchases. Excludes Hanna-Me-Downs resale transactions. Not valid on final sale, giftcards, shipping or taxes. To redeem, enter code in the promo code box during checkout. Cannot be combined with other offers. Not redeemable for gift cards, cash, credit, or towards previous purchases. Not valid to international customers. Hanna Andersson reserves the right to modify or cancel this offer at any time.</t>
  </si>
  <si>
    <t>$20 off Order for Lapsed Customers (no order-level threshold)</t>
  </si>
  <si>
    <t>SIngle Use</t>
  </si>
  <si>
    <t>Clearance and Final Sale, 1-time use per customer, not stackable</t>
  </si>
  <si>
    <t>SU2026-TC-EMAIL-20OFFSURVEY</t>
  </si>
  <si>
    <t>$20 off your order with unique code. Valid through 7/24/26 at 11:59 pm PST. Discount taken with code at checkout on qualifying orders. Cannot be combined with other offers or applied to previous purchases. Excludes Hanna-Me-Downs resale transactions. Not valid on Final Sale, Clearance, giftcards, shipping or taxes. To redeem, enter code in the promo code box during checkout. Can not be combined with other codes. Not redeemable for gift cards, cash, credit, or towards previous purchases. Hanna Andersson reserves the right to modify or cancel this offer at any time.</t>
  </si>
  <si>
    <t>AUG20</t>
  </si>
  <si>
    <t>FA2026-TC-AFFILIATE-AUG20</t>
  </si>
  <si>
    <t>Extra 20% off your first order of $125 or more with code AUG20 for new customers only. Valid through 11:59pm PT on 8/25/2026. Discount taken at checkout with code AUG20 on first order. Offer cannot be combined with additional coupon offers or codes. Cannot be applied to previous purchase, no price adjustments. Not valid on select items: Clearance, Final Sale, shipping or taxes. Not redeemable for gift cards, cash, credit, or towards previous purchases. Hanna Andersson reserves the right to modify or cancel this offer at any time.</t>
  </si>
  <si>
    <t>SEP20</t>
  </si>
  <si>
    <t xml:space="preserve">Who Fills Out </t>
  </si>
  <si>
    <t>Column:</t>
  </si>
  <si>
    <t xml:space="preserve">Answer: </t>
  </si>
  <si>
    <t>Approver</t>
  </si>
  <si>
    <t>This is where it will be noted if LT approved your promotion. Please note your promotion will not be set up until it is approved in this column.</t>
  </si>
  <si>
    <t>Requester</t>
  </si>
  <si>
    <t>This is the date you are entering the request on this doc</t>
  </si>
  <si>
    <t xml:space="preserve">Code Creator </t>
  </si>
  <si>
    <r>
      <rPr>
        <sz val="11"/>
        <color rgb="FF000000"/>
        <rFont val="Calibri"/>
        <family val="2"/>
        <scheme val="minor"/>
      </rPr>
      <t xml:space="preserve">What date do you need this approved by? Formula auto-fills to 1 week prior to go live. </t>
    </r>
    <r>
      <rPr>
        <sz val="11"/>
        <color rgb="FFFF0000"/>
        <rFont val="Calibri"/>
        <family val="2"/>
        <scheme val="minor"/>
      </rPr>
      <t>You may adjust manually as needed if less than week, but please then mark the column in red if you need it sooner than 1 week!</t>
    </r>
    <r>
      <rPr>
        <sz val="11"/>
        <color rgb="FF000000"/>
        <rFont val="Calibri"/>
        <family val="2"/>
        <scheme val="minor"/>
      </rPr>
      <t xml:space="preserve"> Requests should be entered 2 months in advance for pre-planned and if ad hoc requests require faster than 1 week turn around, email notification needs to be sent to Leila/Lily.</t>
    </r>
  </si>
  <si>
    <t>To be updated by channel owner once promotion period has ended and you have actualized data</t>
  </si>
  <si>
    <t>When does the code start for the customer</t>
  </si>
  <si>
    <t>Columns in grey have an autopopulated filter so you can choose your answer</t>
  </si>
  <si>
    <t xml:space="preserve">When does the code end for the customer </t>
  </si>
  <si>
    <t>When does your team need codes handed off by</t>
  </si>
  <si>
    <t>If you are testing the code before the customer facing start date, what start date would you like it to have</t>
  </si>
  <si>
    <t>How many customers do you estimate this code reaching</t>
  </si>
  <si>
    <t>How many transactions do you expect this promtion to drive</t>
  </si>
  <si>
    <t>Column I divided by colum H will give you this percentage for the expected redemption rate</t>
  </si>
  <si>
    <t>Now that your promtion has ended, who many transactions did it generate</t>
  </si>
  <si>
    <t>Now that your promtion has ended, what was the redemption rate</t>
  </si>
  <si>
    <t>Is this a brand new promotion or are you replacing a promotion from last year?</t>
  </si>
  <si>
    <t>Name of channel owner who is requesting the code</t>
  </si>
  <si>
    <t xml:space="preserve">Requester's team </t>
  </si>
  <si>
    <t>What is your campaign?</t>
  </si>
  <si>
    <t>Do you want the code to take a percentage off the whole order or just a partiuclar product?</t>
  </si>
  <si>
    <t xml:space="preserve">Do you need one custom code or multiple unique codes? </t>
  </si>
  <si>
    <t>If multiple unique codes, how many?</t>
  </si>
  <si>
    <t xml:space="preserve">A single code can be set up to allow a customer to use once or multiple times - please indicate your preference. </t>
  </si>
  <si>
    <t>What do you want your one unique vanity code to be? Example: ILOVEHANNA</t>
  </si>
  <si>
    <t>Should a customer be able to use their vanity code once or multiple times?</t>
  </si>
  <si>
    <t>Does the customer need to manually enter their code at checkout or is the promotion autoapplied to their cart if their cart qualifies for the discount?</t>
  </si>
  <si>
    <t xml:space="preserve">Indicate here if this is a source code or not (these are rare) </t>
  </si>
  <si>
    <t>Is your code only eligible to new/first time customers or can returning customers use it?</t>
  </si>
  <si>
    <t xml:space="preserve">Should your code be applicable to all products or are there any exclusions? Common exclusions include Final Sale items and Clearance. </t>
  </si>
  <si>
    <t>Should your code stack with other promotions and codes? Usually they do not, but please still clarify.</t>
  </si>
  <si>
    <t xml:space="preserve">Once the code is applied to a customer's order, can they also use their loyalty rewards toward the purchase? For example a $10 off reward. Please check with our Loyalty team to confirm best practice for your promotion. </t>
  </si>
  <si>
    <t xml:space="preserve">Once approved, site team will work on getting it set up and sent to our QA team. Site team will fill out this campaign ID once set up. </t>
  </si>
  <si>
    <t xml:space="preserve">Site team will set up the discalimer details. These are customer facing and also referenced by our Customer Service Team. </t>
  </si>
  <si>
    <t>NOTES</t>
  </si>
  <si>
    <t>Anything you need to convey that you feel was not answered by filling out your request</t>
  </si>
  <si>
    <t>DISLCAIMERS 2023-NOW</t>
  </si>
  <si>
    <t xml:space="preserve">Seasonal Promotions </t>
  </si>
  <si>
    <t>Ongoing Promotions</t>
  </si>
  <si>
    <t xml:space="preserve">Conditions to Consider </t>
  </si>
  <si>
    <t>Promotion Name:</t>
  </si>
  <si>
    <t>Disclaimer:</t>
  </si>
  <si>
    <t>Loyalty (Hanna Rewards)</t>
  </si>
  <si>
    <t>All Sleep Starting at $25</t>
  </si>
  <si>
    <t>Prices as marked. Excludes Halloween styles and select new baby styles. Valid from 8/8 through 8/21. Cannot be applied to previous purchases, no price adjustments. Hanna Andersson reserves the right to modify or cancel this offer at any time.</t>
  </si>
  <si>
    <t>Welcome Offer
20% Off For New Customers</t>
  </si>
  <si>
    <t xml:space="preserve">20% off for new Customers: Discount taken with code entry at checkout. Code entry provided on site upon clicking from this email. Cannot be applied to previous purchases. Valid for two weeks from receipt. Not valid on select items: clearance, final sale, giftcards, shipping or taxes. Not eligible on international orders. Limit of one per customer, cannot be combined with additional offers, sitewide promotions, or Hanna Rewards. Other exclusions may apply, see site for details. To redeem, enter code in the promo code box during checkout. Not redeemable for gift cards, cash, credit, Hanna Rewards, or towards previous purchases. Hanna Andersson reserves the rights to modify or cancel this offer at anytime. </t>
  </si>
  <si>
    <t>Stackability</t>
  </si>
  <si>
    <t xml:space="preserve">Buy More, Save More </t>
  </si>
  <si>
    <t>25% off on orders $100+, 30% off on orders $150+, and 40% off on orders $200+. Discount taken at checkout. Valid from 8/1 through 8/6. Does not apply to Final Sale items. Not valid with select offers or codes. Cannot be applied to previous purchases, no price adjustments. Hanna Andersson reserves the right to modify or cancel this offer at any time.</t>
  </si>
  <si>
    <t>HAEMPLOYEE</t>
  </si>
  <si>
    <t>Extra 15% Off BTS Favs</t>
  </si>
  <si>
    <t>Apply code EXTRA15 at checkout for 15% off select back-to-school favorite apparel. Valid through 8/10/2023. Offer cannot be combined with other promotion codes. Not valid on clearance, final sale, shipping or taxes. Cannot be applied to previous purchases, no price adjustments. Not redeemable for gift cards, cash, or credit. Hanna Andersson reserves the right to modify or cancel this offer at any time.</t>
  </si>
  <si>
    <t xml:space="preserve">Uses Per Customer </t>
  </si>
  <si>
    <t xml:space="preserve">30% Off All Apparel </t>
  </si>
  <si>
    <t>Price as marked on qualifying products. Valid from 8/11/23 through 8/21/23. Offer does not apply to shipping or taxes. Cannot be applied to previous purchases, no price adjustments. Not redeemable for gift cards, cash, or credit. Hanna Andersson reserves the right to modify or cancel this offer at any time.</t>
  </si>
  <si>
    <t>Product Exclusions 
(Final Sale, Clearance)</t>
  </si>
  <si>
    <t xml:space="preserve">Up to 75% Off Clearance </t>
  </si>
  <si>
    <t>Prices as marked through 8/21. Not valid on shipping or taxes. Cannot be applied to previous purchases, no price adjustments. Not redeemable for gift cards, cash, or credit. Hanna Andersson reserves the right to modify or cancel this offer at any time.</t>
  </si>
  <si>
    <t xml:space="preserve">Up to 30% Off Fall Favorites </t>
  </si>
  <si>
    <t>Prices as marked on select items through 8/26. Discount not valid on Moon &amp; Back, Halloween products, shipping or taxes. Cannot be applied to previous purchases, no price adjustments. Not redeemable for gift cards, cash, or credit. Hanna Andersson reserves the right to modify or cancel this offer at any time. </t>
  </si>
  <si>
    <t>Up to 30% Off Favorite Characters</t>
  </si>
  <si>
    <t xml:space="preserve">Labor Day Sale </t>
  </si>
  <si>
    <t>Up to 40% off everything. Prices as marked and in cart. Valid from 8/27/23 through 9/4/23. Not valid with select offers or codes. Offer cannot be applied to previous purchases, no price adjustments. Not redeemable for gift cards, cash, credit, taxes, or towards previous purchases. Not valid on Baby Bundles. Hanna Andersson reserves the right to modify or cancel this offer at any time.</t>
  </si>
  <si>
    <t>GET15</t>
  </si>
  <si>
    <t>Extra 15% off with code GET15. Valid on all items, no exclusions through 9/4/23. Discount taken with code GET15 at checkout. Cannot be combined with other offers or applied to previous purchases. Not valid on final sale, giftcards, shipping or taxes. Excludes Hanna-Me-Downs resale transactions and baby bundles. Not redeemable for gift cards, cash, credit, or towards previous purchases. Hanna Andersson reserves the right to modify or cancel this offer at any time.</t>
  </si>
  <si>
    <t>GET20</t>
  </si>
  <si>
    <t>Extra 20% off with code GET20. Valid on select items through 9/4/23. Discount taken with code GET20 at checkout. Cannot be combined with other offers or applied to previous purchases. Not valid on final sale, giftcards, shipping or taxes. Excludes Hanna-Me-Downs resale transactions and baby bundles. Not redeemable for gift cards, cash, credit, or towards previous purchases. Hanna Andersson reserves the right to modify or cancel this offer at any time.</t>
  </si>
  <si>
    <t>Semianual Baby Sale: Baby Up to 50% Off</t>
  </si>
  <si>
    <t>Baby up to 50% off through 9/11/23. Prices as marked on select items. Offer does not apply to shipping or taxes. Cannot be applied to previous purchases, no price adjustments. Not redeemable for gift cards, cash, or credit. Hanna Andersson reserves the right to modify or cancel this offer at any time.</t>
  </si>
  <si>
    <t>Halloween Up to 30% Off</t>
  </si>
  <si>
    <t>Up tp 30% off Halloween styles through 9/11/23. Prices as marked in select items. Offer does not apply to shipping or taxes. Cannot be applied to previous purchases, no price adjustments. Not redeemable for gift cards, cash, or credit. Hanna Andersson reserves the right to modify or cancel this offer at any time.</t>
  </si>
  <si>
    <t>Favorite Sleepers from $20</t>
  </si>
  <si>
    <t>Select favorite sleepers starting at $20 for a limited time only through 9/11/23. Prices as marked. Cannot be applied to previous purchases, no price adjustments. Hanna Andersson reserves the right to modify or cancel this offer at any time.</t>
  </si>
  <si>
    <t>Big Fall Sale Up to 40% Off
9/13-9/24</t>
  </si>
  <si>
    <t>Up to 40% off Fall Favorites through 9/24/23. Prices as marked and in cart on select styles. Offer does not apply to shipping or taxes. Cannot be applied to previous purchases, no price adjustments. Not redeemable for gift cards, cash, or credit. Hanna Andersson reserves the right to modify or cancel this offer at any time.</t>
  </si>
  <si>
    <t>Big Fall Sale Up to 50% Off
9/19-9/24</t>
  </si>
  <si>
    <t>Up to 50% off Fall Favorites through 9/24/23. Prices as marked and in cart on select styles. Offer does not apply to shipping or taxes. Cannot be applied to previous purchases, no price adjustments. Not redeemable for gift cards, cash, or credit. Hanna Andersson reserves the right to modify or cancel this offer at any time.</t>
  </si>
  <si>
    <t>Halloween Up to 40% Off
9/25-10/2</t>
  </si>
  <si>
    <t>Halloween styles up to 40% off through 10/2/23. Prices as marked and in cart on select items. Offer does not apply to shipping or taxes. Cannot be applied to previous purchases, no price adjustments. Not redeemable for gift cards, cash, or credit. Hanna Andersson reserves the right to modify or cancel this offer at any time.</t>
  </si>
  <si>
    <t>Early Holiday Sleep Up to 30% Off 
9/25-10/2</t>
  </si>
  <si>
    <t>Favorite Holiday sleep prints up to 30% off through 10/2/23.  Prices as marked and in cart on select items. Offer does not apply to shipping or taxes. Cannot be applied to previous purchases, no price adjustments. Not redeemable for gift cards, cash, or credit. Hanna Andersson reserves the right to modify or cancel this offer at any time.</t>
  </si>
  <si>
    <t>Hannaween Event: Halloween Up to 50% Off
10/3-10/10</t>
  </si>
  <si>
    <t>Get it in time: Halloween styles up to 50% off. Prices as marked and in cart on select items. Offer does not apply to shipping or taxes. Cannot be applied to previous purchases, no price adjustments. Not redeemable for gift cards, cash, or credit. Hanna Andersson reserves the right to modify or cancel this offer at any time.</t>
  </si>
  <si>
    <t>Friends &amp; Family Sale 
10/11-10/22</t>
  </si>
  <si>
    <t>40% off everything. Valid through 10/22/23 at 11:59 pm PST. Prices as marked and in cart. Cannot be combined with other codes, offers, or applied to previous purchases. Excludes Hanna-Me-Downs resale transactions. Not valid on giftcards, shipping or taxes. Not redeemable for gift cards, cash, credit, or towards previous purchases. No sales price adjustments. Hanna Andersson reserves the right to modify or cancel this offer at any time.</t>
  </si>
  <si>
    <t>Friends &amp; Family Sale: 10% Off with Code
10/17 early email access
10/19-10/22 open to public</t>
  </si>
  <si>
    <t>Extra 10% off your purchase. Valid through 10/22/23 at 11:59 pm PST.  Discount taken with code at checkout. Cannot be combined with other offers or applied to previous purchases. Excludes Hanna-Me-Downs resale transactions. Not valid on final sale, clearance, giftcards, shipping or taxes. To redeem, enter code in the promo code box during checkout. Not eligible for international customers. Cannot be combined with other offers. Not redeemable for gift cards, cash, credit, or towards previous purchases. Hanna Andersson reserves the right to modify or cancel this offer at any time.</t>
  </si>
  <si>
    <t>Favorite Characters - Up to 40% Off
10/24-10/29</t>
  </si>
  <si>
    <t>Favorite Characters up to 40% off through 10/29/23. Prices as marked and in cart on select items. Offer does not apply to shipping or taxes. Cannot be applied to previous purchases, no price adjustments. Not redeemable for gift cards, cash, or credit. Hanna Andersson reserves the right to modify or cancel this offer at any time.</t>
  </si>
  <si>
    <t>Up to 30% Off Almost Everything
10/24-10/30</t>
  </si>
  <si>
    <t>Up to 30% off almost everything through 10/29/23. Prices as marked and in cart on select items. Offer does not apply to shipping or taxes. Cannot be applied to previous purchases, no price adjustments. Not redeemable for gift cards, cash, or credit. Hanna Andersson reserves the right to modify or cancel this offer at any time.</t>
  </si>
  <si>
    <t>Additional 30% Off Clearance with Code EXTRA30
10/25-10/29</t>
  </si>
  <si>
    <t>Additional 30% off clearance with code EXTRA30 through 10/29/23 at 11:59PM PST on select styles. Discount taken at checktout with code EXTRA30. Cannot be combined with other offers and codes or applied to previous purchases. Not valid on final sale, giftcards, shipping or taxes. No price adjustments. Excludes Hanna-Me-Downs resale transactions and baby bundles. Not redeemable for gift cards, cash, credit, Hanna Rewards, or towards previous purchases. Not valid on international orders. Hanna Andersson reserves the right to modify or cancel this offer at any time.</t>
  </si>
  <si>
    <t>Contingency:
Flash Sale - Extra 25% Off Clearance
11/3-11/5</t>
  </si>
  <si>
    <t>Flash Sale: Extra 25% Off Clearance. Valid on select items through 11/5/23. Prices as marked and in cart on qualifying items. Offer does not apply to shipping or taxes. Cannot be applied to previous purchases, no price adjustments. Not redeemable for gift cards, cash, or credit. Hanna Andersson reserves the right to modify or cancel this offer at any time.</t>
  </si>
  <si>
    <t>Family Matching PJ Event - Up to 40% Off all PJs
10/30-11/6</t>
  </si>
  <si>
    <t>Family Matching PJ Event: Up to 40% off all PJs. Valid through 11/6/23. Prices as marked and in cart on select items. Offer does not apply to shipping or taxes. Cannot be applied to previous purchases, no price adjustments. Not redeemable for gift cards, cash, or credit. Hanna Andersson reserves the right to modify or cancel this offer at any time.</t>
  </si>
  <si>
    <t>Holiday Dress Up Event - Up to 40% Off 
11/7-11/12</t>
  </si>
  <si>
    <t>Holiday Dress Up Event: Up to 40% off select styles through 11/12/23 at 11:59PM PST. . Prices as marked and in cart on qualifying products. Offer does not apply to shipping or taxes. Cannot be applied to previous purchases, no price adjustments. Not redeemable for gift cards, cash, or credit. Hanna Andersson reserves the right to modify or cancel this offer at any time.</t>
  </si>
  <si>
    <t>50% Off Adult Sleep
11/7-11/12</t>
  </si>
  <si>
    <t>Up to 50% off select adult sleep styles through 11/12/23 at 11:59PM PST. Exclusions apply. Prices as marked and in cart on qualifying products. Offer does not apply to shipping or taxes. Cannot be applied to previous purchases, no price adjustments. Not redeemable for gift cards, cash, or credit. Hanna Andersson reserves the right to modify or cancel this offer at any time.</t>
  </si>
  <si>
    <t>50% Off Pajamas 
11/13-11/19</t>
  </si>
  <si>
    <t>50% off all pajamas. Valid through 11/19/2023 at 11:59PM PST. Prices as marked and in cart. Exclusions may apply. Not valid with other offers or codes. Cannot be applied to previous purchases, no price adjustments. Offer does not apply to shipping or taxes. Not redeemable for gift cards, cash, or credit. Hanna Andersson reserves the right to modify or cancel this offer at any time.</t>
  </si>
  <si>
    <t>40% Off Everything 
11/13-11/19</t>
  </si>
  <si>
    <t>40% off everything. Valid through 11/19/2023 at 11:59PM PST. Prices as marked and in cart. Exclusions may apply. Not valid with other offers or codes. Cannot be applied to previous purchases, no price adjustments. Offer does not apply to shipping or taxes. Not redeemable for gift cards, cash, or credit. Hanna Andersson reserves the right to modify or cancel this offer at any time.</t>
  </si>
  <si>
    <t>Free Shipping On All Orders
11/13-11/19</t>
  </si>
  <si>
    <t xml:space="preserve"> Valid on orders shipped to a single address in U.S. Order total is calculated after discounts and before taxes. Excludes oversize and international shipments. Cannot be combined with other shipping offers or discounts. Not valid on previous orders, no price adjustments on shipping. Hanna Andersson reserves the right to modify or cancel this offer at any time.</t>
  </si>
  <si>
    <t>Black Friday Sale: 50% Off EVERYTHING
11/20-11/26</t>
  </si>
  <si>
    <t>Black Friday Sale: 50% off everything. Valid through 11/26/2023 at 11:59PM PST. Prices as marked and in cart. Exclusions may apply. Not valid with other offers or codes. Cannot be applied to previous purchases, no price adjustments. Offer does not apply to shipping or taxes. Not redeemable for gift cards, cash, or credit. Hanna Andersson reserves the right to modify or cancel this offer at any time.</t>
  </si>
  <si>
    <t>Cyber Monday: 50% Off Everything
11/27-11/28</t>
  </si>
  <si>
    <t>Cyber Monday Sale: 50% off everything. Valid through 11/28/2023 at 11:59PM PST. Prices as marked and in cart. Exclusions may apply. Not valid with other offers or codes. Cannot be applied to previous purchases, no price adjustments. Offer does not apply to shipping or taxes. Not redeemable for gift cards, cash, or credit. Hanna Andersson reserves the right to modify or cancel this offer at any time.</t>
  </si>
  <si>
    <t>20% Off Clearance 
11/27-11/28
(no code, on site &amp; email)</t>
  </si>
  <si>
    <t>Extra 20% off Clearance. Valid through 11/28/2023 at 11:59PM PST. Prices as marked and in cart. Exclusions may apply. Not valid with other offers or codes. Cannot be applied to previous purchases, no price adjustments. Offer does not apply to shipping or taxes. Not redeemable for gift cards, cash, or credit. Hanna Andersson reserves the right to modify or cancel this offer at any time.</t>
  </si>
  <si>
    <t>PJs Starting at $20 (ft. select Holiday Prints)
11/29-12/7</t>
  </si>
  <si>
    <t>Pajamas starting at $20 featuring select Holiday Prints. Valid through 12/7/2023 at 11:59PM PST. Prices as marked and in cart. Exclusions may apply. Not valid with other offers or codes. Cannot be applied to previous purchases, no price adjustments. Offer does not apply to shipping or taxes. Not redeemable for gift cards, cash, or credit. Hanna Andersson reserves the right to modify or cancel this offer at any time.</t>
  </si>
  <si>
    <t>Up to 50% Off Holiday
11/29-12/7</t>
  </si>
  <si>
    <t>Up to 50% off Holiday styles. Valid through 12/7/2023 at 11:59PM PST. Prices as marked and in cart. Exclusions may apply. Not valid with other offers or codes. Cannot be applied to previous purchases, no price adjustments. Offer does not apply to shipping or taxes. Not redeemable for gift cards, cash, or credit. Hanna Andersson reserves the right to modify or cancel this offer at any time.</t>
  </si>
  <si>
    <t>3 Day Flash Sale: Extra 25% Off Clearance
12/1-12/3
(no code, on site)</t>
  </si>
  <si>
    <t>3 Day Flash Sale: Extra 25% of Clearance items. Valid through 12/3/2023 at 11:59PM PST. Prices as marked and in cart. Exclusions may apply. Not valid with other offers or codes. Cannot be applied to previous purchases, no price adjustments. Offer does not apply to shipping or taxes. Not redeemable for gift cards, cash, or credit. Hanna Andersson reserves the right to modify or cancel this offer at any time.</t>
  </si>
  <si>
    <t>4-Day Only: 50% Off Sitewide (exlcudes New Arrivals
12/8-12/11</t>
  </si>
  <si>
    <t>4-Days Only: 50% off sitewide. Does not include New arrivals and other select styles. Valid through 12/11/2023 at 11:59PM PST. Prices as marked and in cart. Exclusions may apply. Not valid with other offers or codes. Cannot be applied to previous purchases, no price adjustments. Offer does not apply to shipping or taxes. Not redeemable for gift cards, cash, or credit. Hanna Andersson reserves the right to modify or cancel this offer at any time.</t>
  </si>
  <si>
    <t>Free 3-Day Shipping on orders over $50
12/12-12/19</t>
  </si>
  <si>
    <t>Free 3-day shipping on orders shipped to a single address in the contiguous U.S. (excludes HI, AK, APO, FPO, DPO and PO Boxes). Valid through 12/19/2023 at 11:59PM PST. Excludes oversize and international shipments. Cannot be combined with other shipping offers or discounts. Not valid on previous orders, no price adjustments on shipping. Hanna Andersson reserves the right to modify or cancel this offer at any time.</t>
  </si>
  <si>
    <t>Up to 50% Off Sleep &amp; Holiday (excluding New Arrivals!)
12/12-12/19</t>
  </si>
  <si>
    <t>Up to 50% off Sleep &amp; Holiday styles. Does not include New arrivals and other select styles. Valid through 12/19/2023 at 11:59PM PST. Prices as marked and in cart. Exclusions may apply. Not valid with other offers or codes. Cannot be applied to previous purchases, no price adjustments. Offer does not apply to shipping or taxes. Not redeemable for gift cards, cash, or credit. Hanna Andersson reserves the right to modify or cancel this offer at any time.</t>
  </si>
  <si>
    <t>3 Day Flash Sale: Sleep Starting at $10 (while supplies last)
12/15-12/17</t>
  </si>
  <si>
    <t>3 Day Flash Sale: Sleep starting at $10 while supplies last! Valid through 12/17/2023 at 11:00AM PST. Prices as marked and in cart. Exclusions may apply. Not valid with other offers or codes. Cannot be applied to previous purchases, no price adjustments. Offer does not apply to shipping or taxes. Not redeemable for gift cards, cash, or credit. Hanna Andersson reserves the right to modify or cancel this offer at any time.</t>
  </si>
  <si>
    <t>$15 Next Day On All Orders
12/20-12/21</t>
  </si>
  <si>
    <t xml:space="preserve">$15 Next Day Shipping on orders placed by 11:00AM PST on 12/21/23 and shipped to a single U.S. address. Next day shipping not available to PO Boxes, HI, AK, PR/USVI/US Territories, APO/FPO/DPO. Excludes oversize and international shipments. Cannot be combined with other shipping offers or discounts. Not valid on previous orders, no price adjustments on shipping. Hanna Andersson reserves the right to modify or cancel this offer at any time
</t>
  </si>
  <si>
    <t>Up to 50% Off Holiday, including Winter New Arrivals
12/20-12/25</t>
  </si>
  <si>
    <t>Up to 50% off Holiday, including Winter New Arrivals! Valid through 12/25/2023 at 11:59PM PST. Prices as marked and in cart. Exclusions may apply. Not valid with other offers or codes. Cannot be applied to previous purchases, no price adjustments. Offer does not apply to shipping or taxes. Not redeemable for gift cards, cash, or credit. Hanna Andersson reserves the right to modify or cancel this offer at any time.</t>
  </si>
  <si>
    <t>Hanna Sale: Up to 60% Off Everything 
12/26-12/28</t>
  </si>
  <si>
    <t>Hanna Sale: Up to 60% Off Everything! Valid through 1/3/2024 at 11:59PM PST. Prices as marked and in cart. Exclusions may apply. Not valid with other offers or codes. Cannot be applied to previous purchases, no price adjustments. Offer does not apply to shipping or taxes. Not redeemable for gift cards, cash, or credit. Hanna Andersson reserves the right to modify or cancel this offer at any time.</t>
  </si>
  <si>
    <t>Extra 20% Off Clearance 
12/29-1/3/23
(no code, on site auto-applied)</t>
  </si>
  <si>
    <t>Extra 20% of Clearance. Valid through 1/3/2023 at 11:59PM PST. Prices as marked and in cart. Exclusions may apply. Not valid with other offers or codes. Cannot be applied to previous purchases, no price adjustments. Offer does not apply to shipping or taxes. Not redeemable for gift cards, cash, or credit. Hanna Andersson reserves the right to modify or cancel this offer at any time.</t>
  </si>
  <si>
    <t>LAST CHANCE Hanna Sale: Up to 75% off everything
1/4-1/8</t>
  </si>
  <si>
    <t>Hanna Sale: Now Up to 75% Off Everything! Valid through 1/8/2024 at 11:59PM PST. Prices as marked and in cart. Exclusions may apply. Not valid with other offers or codes. Cannot be applied to previous purchases, no price adjustments. Offer does not apply to shipping or taxes. Not redeemable for gift cards, cash, or credit. Hanna Andersson reserves the right to modify or cancel this offer at any time.</t>
  </si>
  <si>
    <t>Valentine's Day Up to 30% Off 
1/9-1/22</t>
  </si>
  <si>
    <t>Valentine's Day up to 30% off. Valid through 1/22/2024 at 11:59PM PST. Prices as marked and in cart. Exclusions may apply. Not valid with other offers. Cannot be applied to previous purchases, no price adjustments. Offer does not apply to shipping or taxes. Not redeemable for gift cards, cash, or credit. Hanna Andersson reserves the right to modify or cancel this offer at any time.</t>
  </si>
  <si>
    <t>Clearance Up to 75% Off
1/9-1/11</t>
  </si>
  <si>
    <t>Clearance up to 75% off. Valid through 1/15/2024 at 11:59PM PST. Prices as marked and in cart. Exclusions may apply. Not valid with other offers. Cannot be applied to previous purchases, no price adjustments. Offer does not apply to shipping or taxes. Not redeemable for gift cards, cash, or credit. Hanna Andersson reserves the right to modify or cancel this offer at any time.</t>
  </si>
  <si>
    <t>MLK Flash Sale: Extra 20% off Entire Order w/ Code 3DAYWKND
1/12-1/15</t>
  </si>
  <si>
    <r>
      <rPr>
        <sz val="11"/>
        <color rgb="FF111111"/>
        <rFont val="Calibri"/>
        <family val="2"/>
        <scheme val="minor"/>
      </rPr>
      <t xml:space="preserve">Flash Sale: Extra 20% off Entire Order w/ Code </t>
    </r>
    <r>
      <rPr>
        <sz val="11"/>
        <color rgb="FF000000"/>
        <rFont val="Calibri"/>
        <family val="2"/>
        <scheme val="minor"/>
      </rPr>
      <t xml:space="preserve">3DAYWKND. </t>
    </r>
    <r>
      <rPr>
        <sz val="11"/>
        <color rgb="FF111111"/>
        <rFont val="Calibri"/>
        <family val="2"/>
        <scheme val="minor"/>
      </rPr>
      <t>Valid through 1/15/2024 at 11:59PM PST. Prices as marked and in cart. Exclusions may apply including Final Sale and Baby Bundles. Not valid with other offers or codes. Cannot be applied to previous purchases, no price adjustments. Offer does not apply to shipping or taxes. Not redeemable for gift cards, cash, or credit. Hanna Andersson reserves the right to modify or cancel this offer at any time.</t>
    </r>
  </si>
  <si>
    <t>Dresses Up to 30% Off 
1/16-1/22</t>
  </si>
  <si>
    <t>Dresses Up to 30% Off. Valid through 1/22/2024 at 11:59PM PST. Prices as marked and in cart. Exclusions may apply. Not valid with other offers. Cannot be applied to previous purchases, no price adjustments. Offer does not apply to shipping or taxes. Not redeemable for gift cards, cash, or credit. Hanna Andersson reserves the right to modify or cancel this offer at any time.</t>
  </si>
  <si>
    <t>Valentine's Day Up to 40% Off 
1/23-1/29</t>
  </si>
  <si>
    <t>Valentine's Day now up to 40% off. Valid through 1/29/2024 at 11:59PM PST. Prices as marked and in cart. Exclusions may apply. Not valid with other offers. Cannot be applied to previous purchases, no price adjustments. Offer does not apply to shipping or taxes. Not redeemable for gift cards, cash, or credit. Hanna Andersson reserves the right to modify or cancel this offer at any time.</t>
  </si>
  <si>
    <t>Mix &amp; Match Clothes: Buy 3 or more, get 30% off w/ code auto-apply.
1/23-2/5</t>
  </si>
  <si>
    <t>Buy 3 or more qualifying products and get 30% off your order. Valid through 2/5/24 at 11:59PM PST. Discount taken at checkout with qualifying products in cart. Not valid with other offers or codes. Cannot be applied to previous purchases, no price adjustments. Offer does not apply to shipping or taxes. Not redeemable for gift cards, cash, or credit. Hanna Andersson reserves the right to modify or cancel this offer at any time.</t>
  </si>
  <si>
    <r>
      <rPr>
        <sz val="11"/>
        <color rgb="FF000000"/>
        <rFont val="Calibri"/>
        <family val="2"/>
        <scheme val="minor"/>
      </rPr>
      <t xml:space="preserve">Pajamas Up to 30% Off 
1/30-2/5
</t>
    </r>
    <r>
      <rPr>
        <i/>
        <sz val="11"/>
        <color rgb="FF000000"/>
        <rFont val="Calibri"/>
        <family val="2"/>
        <scheme val="minor"/>
      </rPr>
      <t>Contingency: 1/26-2/5</t>
    </r>
  </si>
  <si>
    <t>Pajamas Up to 30% off. Valid through 2/5/2024 at 11:59PM PST. Prices as marked and in cart. Exclusions may apply. Not valid with other offers. Cannot be applied to previous purchases, no price adjustments. Offer does not apply to shipping or taxes. Not redeemable for gift cards, cash, or credit. Hanna Andersson reserves the right to modify or cancel this offer at any time.</t>
  </si>
  <si>
    <r>
      <rPr>
        <sz val="11"/>
        <color rgb="FF000000"/>
        <rFont val="Calibri"/>
        <family val="2"/>
        <scheme val="minor"/>
      </rPr>
      <t xml:space="preserve">Active Up to 30% Off 
1/30-2/5
</t>
    </r>
    <r>
      <rPr>
        <i/>
        <sz val="11"/>
        <color rgb="FF000000"/>
        <rFont val="Calibri"/>
        <family val="2"/>
        <scheme val="minor"/>
      </rPr>
      <t>Contingency: 1/26-2/5</t>
    </r>
  </si>
  <si>
    <t>Activewear up to 30% off. Valid through 2/5/2024 at 11:59PM PST. Prices as marked and in cart. Exclusions may apply. Not valid with other offers. Cannot be applied to previous purchases, no price adjustments. Offer does not apply to shipping or taxes. Not redeemable for gift cards, cash, or credit. Hanna Andersson reserves the right to modify or cancel this offer at any time.</t>
  </si>
  <si>
    <t xml:space="preserve">Kids Apparel Up to 30% Off
2/6-2/15
</t>
  </si>
  <si>
    <t>Select kid's apparel up to 30% off. Valid through 2/15/2024 at 11:59PM PST. Prices as marked and in cart. Exclusions may apply. Not valid with other offers. Cannot be applied to previous purchases, no price adjustments. Offer does not apply to shipping or taxes. Not redeemable for gift cards, cash, or credit. Hanna Andersson reserves the right to modify or cancel this offer at any time.</t>
  </si>
  <si>
    <t xml:space="preserve">Baby Up to 30% Off
2/6-2/15
(Exlcudes bundles, includes Collab)
</t>
  </si>
  <si>
    <t>Baby up to 30% off. Valid through 2/15/2024 at 11:59PM PST. Prices as marked and in cart. Exclusions may apply including baby bundles. Not valid with other offers. Cannot be applied to previous purchases, no price adjustments. Offer does not apply to shipping or taxes. Not redeemable for gift cards, cash, or credit. Hanna Andersson reserves the right to modify or cancel this offer at any time.</t>
  </si>
  <si>
    <t>New Markdowns Added - Up to 50% Off 
Starting 2/9</t>
  </si>
  <si>
    <t>New markdowns added. Select styles up to 50% off while supplies last. Prices as marked. Cannot be applied to previous purchases, no price adjustments. Offer does not apply to shipping or taxes. Not redeemable for gift cards, cash, or credit. Hanna Andersson reserves the right to modify or cancel this offer at any time.</t>
  </si>
  <si>
    <t>President's Day Sale 25% Off Order w/ code WKND25*
2/16-2/19</t>
  </si>
  <si>
    <t xml:space="preserve">25% off entire order with code WKND25. Valid through 2/20/2024 at 11:59PM PST. Code must be applied in cart for discount. Exclusions apply including Final Sale. Not valid with other offers or codes. Cannot be applied to previous purchases, no price adjustments. Offer does not apply to shipping or taxes. Not redeemable for gift cards, cash, or credit. Hanna Andersson reserves the right to modify or cancel this offer at any time. </t>
  </si>
  <si>
    <t xml:space="preserve">Easter Up to 30% Off 
2/20-2/26
</t>
  </si>
  <si>
    <t>Select Easter styles up to 30% off. Valid through 2/26/2024 at 11:59PM PST. Prices as marked and in cart. Not valid with other offers. Cannot be applied to previous purchases, no price adjustments. Offer does not apply to shipping or taxes. Not redeemable for gift cards, cash, or credit. Hanna Andersson reserves the right to modify or cancel this offer at any time.</t>
  </si>
  <si>
    <t>Sleep Up to 30% Off 
2/20-2/26</t>
  </si>
  <si>
    <t>Pajamas up to 30% off. Valid through 2/26/2024 at 11:59PM PST. Prices as marked and in cart. Not valid with other offers. Exclusions may apply. Cannot be applied to previous purchases, no price adjustments. Offer does not apply to shipping or taxes. Not redeemable for gift cards, cash, or credit. Hanna Andersson reserves the right to modify or cancel this offer at any time.</t>
  </si>
  <si>
    <t xml:space="preserve">Mix &amp; Match Clothes: Buy 3 or more, get 30% off w/ code auto apply
2/20-2/26
</t>
  </si>
  <si>
    <t>Buy 3 or more qualifying products and get 30% off your order. Valid through 2/26/24 at 11:59PM PST. Discount taken at checkout with qualifying products in cart. Not valid with other offers or codes. Cannot be applied to previous purchases, no price adjustments. Offer does not apply to shipping or taxes. Not redeemable for gift cards, cash, or credit. Hanna Andersson reserves the right to modify or cancel this offer at any time.</t>
  </si>
  <si>
    <t xml:space="preserve">Swim up to 30% Off
2/27-3/4
</t>
  </si>
  <si>
    <t>Swim up to 30% off. Valid through 3/4/2024 at 11:59PM PST. Prices as marked and in cart. Not valid with other offers. Exclusions may apply. Cannot be applied to previous purchases, no price adjustments. Offer does not apply to shipping or taxes. Not redeemable for gift cards, cash, or credit. Hanna Andersson reserves the right to modify or cancel this offer at any time.</t>
  </si>
  <si>
    <t xml:space="preserve">Easter up to 30% Off
2/27-3/4
</t>
  </si>
  <si>
    <t>Easter styles up to 30% off. Valid through 3/4/2024 at 11:59PM PST. Prices as marked and in cart. Not valid with other offers. Exclusions may apply. Cannot be applied to previous purchases, no price adjustments. Offer does not apply to shipping or taxes. Not redeemable for gift cards, cash, or credit. Hanna Andersson reserves the right to modify or cancel this offer at any time.</t>
  </si>
  <si>
    <t xml:space="preserve">St. Patty's Sale: All Rainbows &amp; Greens up to 30% off
2/27-3/4
</t>
  </si>
  <si>
    <t>St. Patrick's Day Sale: Rainbow and green styles up to 30% off. Valid through 3/4/2024 at 11:59PM PST. Prices as marked and in cart. Not valid with other offers. Exclusions may apply. Cannot be applied to previous purchases, no price adjustments. Offer does not apply to shipping or taxes. Not redeemable for gift cards, cash, or credit. Hanna Andersson reserves the right to modify or cancel this offer at any time.</t>
  </si>
  <si>
    <r>
      <rPr>
        <sz val="11"/>
        <color rgb="FF000000"/>
        <rFont val="Calibri"/>
        <family val="2"/>
        <scheme val="minor"/>
      </rPr>
      <t xml:space="preserve">Easter up to 40% Off
</t>
    </r>
    <r>
      <rPr>
        <b/>
        <sz val="11"/>
        <color rgb="FF000000"/>
        <rFont val="Calibri"/>
        <family val="2"/>
        <scheme val="minor"/>
      </rPr>
      <t xml:space="preserve">3/5-3/22
</t>
    </r>
  </si>
  <si>
    <t>Easter styles up to 40% off. Valid through 3/22/2024 at 11:59PM PST. Prices as marked and in cart. Not valid with other offers. Exclusions may apply. Cannot be applied to previous purchases, no price adjustments. Offer does not apply to shipping or taxes. Not redeemable for gift cards, cash, or credit. Hanna Andersson reserves the right to modify or cancel this offer at any time.</t>
  </si>
  <si>
    <t xml:space="preserve">Mix &amp; Match Clothes: Buy 3 or more, get 30% off w/ code auto apply
3/5-3/11
</t>
  </si>
  <si>
    <t>Buy 3 or more qualifying products and get 30% off your order. Valid through 3/11/24 at 11:59PM PST. Discount taken at checkout with qualifying products in cart. Not valid with other offers or codes. Cannot be applied to previous purchases, no price adjustments. Offer does not apply to shipping or taxes. Not redeemable for gift cards, cash, or credit. Hanna Andersson reserves the right to modify or cancel this offer at any time.</t>
  </si>
  <si>
    <r>
      <rPr>
        <sz val="11"/>
        <color rgb="FF000000"/>
        <rFont val="Calibri"/>
        <family val="2"/>
        <scheme val="minor"/>
      </rPr>
      <t>All Dresses 30% Off 
3/12-</t>
    </r>
    <r>
      <rPr>
        <sz val="11"/>
        <color rgb="FFFF0000"/>
        <rFont val="Calibri"/>
        <family val="2"/>
        <scheme val="minor"/>
      </rPr>
      <t xml:space="preserve">3/21
</t>
    </r>
  </si>
  <si>
    <t>All dresses 30% off. Valid through 3/21/2024 at 11:59PM PST. Prices as marked and in cart. Not valid with other offers. Exclusions may apply. Cannot be applied to previous purchases, no price adjustments. Offer does not apply to shipping or taxes. Not redeemable for gift cards, cash, or credit. Hanna Andersson reserves the right to modify or cancel this offer at any time.</t>
  </si>
  <si>
    <t xml:space="preserve">Mix &amp; Match Clothes: Buy 3 or more, get 30% off w/ code auto apply
3/19-3/22
</t>
  </si>
  <si>
    <t>Buy 3 or more qualifying products and get 30% off your order. Valid through 3/22/24 at 11:59PM PST. Discount taken at checkout with qualifying products in cart. Not valid with other offers or codes. Cannot be applied to previous purchases, no price adjustments. Offer does not apply to shipping or taxes. Not redeemable for gift cards, cash, or credit. Hanna Andersson reserves the right to modify or cancel this offer at any time.</t>
  </si>
  <si>
    <t xml:space="preserve">25% Off Order w/ Code GET25
3/23-3/25
</t>
  </si>
  <si>
    <t xml:space="preserve">30% Off Order w/ Code GET30
3/23-3/25
</t>
  </si>
  <si>
    <t>30% off entire order with code GET30. Valid through 3/25/24 at 11:59PM PST. Code must be applied in cart for discount. Not valid with other offers or codes. Exclusions apply including Final Sale and bundles. Cannot be applied to previous purchases, no price adjustments. Offer does not apply to shipping or taxes. Not redeemable for gift cards, cash, or credit. Hanna Andersson reserves the right to modify or cancel this offer at any time.</t>
  </si>
  <si>
    <t xml:space="preserve">Swim Up to 30% Off 
3/26-4/1
</t>
  </si>
  <si>
    <t>Swim up to 30% off. Valid through 4/1/24 at 11:59PM PST. Discount taken at checkout with qualifying products in cart. Not valid with other offers or codes. Cannot be applied to previous purchases, no price adjustments. Offer does not apply to shipping or taxes. Not redeemable for gift cards, cash, or credit. Hanna Andersson reserves the right to modify or cancel this offer at any time.</t>
  </si>
  <si>
    <t xml:space="preserve">Sleep Up to 30% Off 
3/26-4/1
</t>
  </si>
  <si>
    <t>Sleep up to 30% off. Valid through 4/1/24 at 11:59PM PST. Discount taken at checkout with qualifying products in cart. Not valid with other offers or codes. Cannot be applied to previous purchases, no price adjustments. Offer does not apply to shipping or taxes. Not redeemable for gift cards, cash, or credit. Hanna Andersson reserves the right to modify or cancel this offer at any time.</t>
  </si>
  <si>
    <t xml:space="preserve">All Sleep Starting at $20
4/2-4/8
</t>
  </si>
  <si>
    <t>All sleep starting at $20. Valid through 4/8/24 at 11:59PM PST. Discount taken at checkout with qualifying products in cart. Not valid with other offers or codes. Cannot be applied to previous purchases, no price adjustments. Exclusions may apply, including Bluey products. Offer does not apply to shipping or taxes. Not redeemable for gift cards, cash, or credit. Hanna Andersson reserves the right to modify or cancel this offer at any time.</t>
  </si>
  <si>
    <t xml:space="preserve">Spring Up To 30% Off
4/2-4/8
</t>
  </si>
  <si>
    <t>Spring up to 30% off. Valid through 4/8/24 at 11:59PM PST. Discount taken at checkout with qualifying products in cart. Not valid with other offers or codes. Cannot be applied to previous purchases, no price adjustments. Offer does not apply to shipping or taxes. Not redeemable for gift cards, cash, or credit. Hanna Andersson reserves the right to modify or cancel this offer at any time.</t>
  </si>
  <si>
    <t xml:space="preserve">Mix &amp; Match Clothes: Buy 3 or more, get 30% off w/ code auto apply
4/9-4/15
</t>
  </si>
  <si>
    <t>Buy 3 or more qualifying products and get 30% off your order. Valid through 4/15/24 at 11:59PM PST. Discount taken at checkout with qualifying products in cart. Not valid with other offers or codes. Cannot be applied to previous purchases, no price adjustments. Offer does not apply to shipping or taxes. Not redeemable for gift cards, cash, or credit. Hanna Andersson reserves the right to modify or cancel this offer at any time.</t>
  </si>
  <si>
    <t xml:space="preserve">Dresses Up to 30% Off 
4/9-4/15
</t>
  </si>
  <si>
    <t>Dresses up to 30% off. Valid through 4/15/24 at 11:59PM PST. Discount taken at checkout with qualifying products in cart. Not valid with other offers or codes. Cannot be applied to previous purchases, no price adjustments. Offer does not apply to shipping or taxes. Not redeemable for gift cards, cash, or credit. Hanna Andersson reserves the right to modify or cancel this offer at any time.</t>
  </si>
  <si>
    <t xml:space="preserve">Extra 20% Off Clearance w/ Code TAKE20 
4/4-4/7
</t>
  </si>
  <si>
    <t xml:space="preserve">Extra 20% Off Order For Loyalty w/ Code LOYALTY20
3/20-3/31
</t>
  </si>
  <si>
    <t>Swim Up to 30% Off
4/16-4/24</t>
  </si>
  <si>
    <t>Up to 30% off Swimwear. Valid through 4/24/2024 at 11:59PM PST. Discount taken at checkout with qualifying products in cart. Not valid with other offers or codes. Cannot be applied to previous purchases, no price adjustments. Offer does not apply to shipping or taxes. Not redeemable for gift cards, cash, or credit. Hanna Andersson reserves the right to modify or cancel this offer at any time.</t>
  </si>
  <si>
    <t>Summer New Arrivals 25% Off w/ code SUMMER25
4/20-4/24</t>
  </si>
  <si>
    <t>Up to 50% Off Spring Must Haves 
4/16-4/24</t>
  </si>
  <si>
    <t>Up to 50% off Spring Must Haves. Valid through 4/24/2024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</si>
  <si>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Friends &amp; Family 
40% Off Sitewide with Exclusions
4/25-5/5</t>
  </si>
  <si>
    <t>40% off order sitewide. *Up to 40% off sitewide, some exclusions apply. Valid through 5/5/2024 at 11:59PM PST. Prices as marked and in cart. Cannot be combined with other offers or codes. Cannot be applied to previous purchases, no price adjustments. Excludes Hanna-Me-Downs resale transactions. Offer does not apply to shipping or taxes. Not redeemable for gift cards, cash, or credit. Hanna Andersson reserves the right to modify or cancel this offer at any time.</t>
  </si>
  <si>
    <t xml:space="preserve">May the 4th
Extra 20% Off Star Wars w/ Code MT4
5/4 </t>
  </si>
  <si>
    <t>20% off Star Wars with code MT4. Valid one day only through 5/4/24 at 11:59PM PST. Discount taken with code at checkout. Cannot be combined with other offers or applied to previous purchases. Excludes Hanna-Me-Downs resale transactions. Not valid on final sale, giftcards, shipping or taxes. To redeem, enter code in the promo code box during checkout. Limit of one use per customer, cannot be combined with other offers. Not redeemable for gift cards, cash, credit, or towards previous purchases. Not valid to international customers. Hanna Andersson reserves the right to modify or cancel this offer at any time.</t>
  </si>
  <si>
    <t>Friends &amp; Family: 1 Day Extension
40% Off Sitewide with Exclusions
5/6</t>
  </si>
  <si>
    <t>40% off order sitewide. *Up to 40% off sitewide, some exclusions apply. Valid through 5/6/2024 at 11:59PM PST. Prices as marked and in cart. Cannot be combined with other offers or codes. Cannot be applied to previous purchases, no price adjustments. Excludes Hanna-Me-Downs resale transactions. Offer does not apply to shipping or taxes. Not redeemable for gift cards, cash, or credit. Hanna Andersson reserves the right to modify or cancel this offer at any time.</t>
  </si>
  <si>
    <t>5/9 - 5/31
LOYALTY May Birthday $10 Off Coupon Test
*please link Terms/T&amp;Cs in final version</t>
  </si>
  <si>
    <r>
      <rPr>
        <sz val="11"/>
        <color rgb="FF000000"/>
        <rFont val="Calibri"/>
        <family val="2"/>
      </rPr>
      <t xml:space="preserve">*May Birthday $10 Off Coupon: Valid for purchases made from 5/9/24 at 12:01 a.m. PT through 5/31/24 at 11:59 p.m. PT at hannaandersson.com. Valid for one use during offer period. Cart value must be at least $10. Not valid on clearance or final sale items. Cannot be combined with other codes. Must be logged into your loyalty account in order to redeem code. Coupon value not redeemable for cash. Cannot be applied to previous purchases and no price adjustments on previous purchases. Hanna Andersson reserves the right to modify or cancel this offer at any time. See </t>
    </r>
    <r>
      <rPr>
        <u/>
        <sz val="11"/>
        <color rgb="FF000000"/>
        <rFont val="Calibri"/>
        <family val="2"/>
      </rPr>
      <t>Reward Program Terms</t>
    </r>
    <r>
      <rPr>
        <sz val="11"/>
        <color rgb="FF000000"/>
        <rFont val="Calibri"/>
        <family val="2"/>
      </rPr>
      <t xml:space="preserve"> for details on earning and redeeming points and rewards at Hanna Rewards </t>
    </r>
    <r>
      <rPr>
        <u/>
        <sz val="11"/>
        <color rgb="FF000000"/>
        <rFont val="Calibri"/>
        <family val="2"/>
      </rPr>
      <t>Terms &amp; Conditions</t>
    </r>
    <r>
      <rPr>
        <sz val="11"/>
        <color rgb="FF000000"/>
        <rFont val="Calibri"/>
        <family val="2"/>
      </rPr>
      <t>.</t>
    </r>
  </si>
  <si>
    <t>Extra 20% Off Clearance w/ Code CLEANING20
4/21-4/22</t>
  </si>
  <si>
    <t>Extra 20% off Clearance. Valid through 11:59pm PT on 4/22/2024. Discount taken at checkout with code CLEANING20. Offer cannot be combined with additional coupon offers. Cannot be applied to previous purchase, no price adjustments. Not valid on select items: final sale, shipping or taxes. Not redeemable for gift cards, cash, credit, or towards previous purchases. Hanna Andersson reserves the right to modify or cancel this offer at any time.</t>
  </si>
  <si>
    <t>Targeted Offer During F&amp;F: 20% Off Order w/ Code FF20
4/30-5/3</t>
  </si>
  <si>
    <t>Extra 20% off with code. *Exclusions apply. Valid through 11:59pm PT on 5/3/2024. Discount taken at checkout with code FF20. Offer cannot be combined with additional coupon or offers. Cannot be applied to previous purchase, no price adjustments. Not valid on select items: clearance, final sale, shipping or taxes. Not redeemable for gift cards, cash, credit, or towards previous purchases. Hanna Andersson reserves the right to modify or cancel this offer at any time.</t>
  </si>
  <si>
    <t>HannaSoft 20% Off Redline
4/29 only</t>
  </si>
  <si>
    <t>One day only, extra 20% off HannaSoft. Valid through 11:59pm PT on 4/29/2024. Prices as marked and in cart. Cannot be applied to previous purchase, no price adjustments. Not valid on select items including bundles, shipping or taxes. Not redeemable for gift cards, cash, credit, or towards previous purchases. Hanna Andersson reserves the right to modify or cancel this offer at any time.</t>
  </si>
  <si>
    <t>All Dresses 30% Off
5/7-5/13</t>
  </si>
  <si>
    <t>All Dresses 30% off. Valid through 5/13/24 at 11:59PM PST. Discount as marked and in cart on qualifying products. Cannot be applied to previous purchases, no price adjustments. Offer does not apply to shipping or taxes. Not redeemable for gift cards, cash, or credit. Hanna Andersson reserves the right to modify or cancel this offer at any time.</t>
  </si>
  <si>
    <t>All PJs on Sale Starting at $20
5/7-5/13</t>
  </si>
  <si>
    <t>All pajamas on sale starting at $20. Valid through 5/13/24 at 11:59PM PST. Discount as marked and in cart on qualifying products. Cannot be applied to previous purchases, no price adjustments. Offer does not apply to shipping or taxes. Not redeemable for gift cards, cash, or credit. Hanna Andersson reserves the right to modify or cancel this offer at any time.</t>
  </si>
  <si>
    <t>$10 Off Order For Loyalty May Birthdays
5/9-5/31</t>
  </si>
  <si>
    <t>Summer Pool Party: All Swim Up to 40% Off
5/14-5/18</t>
  </si>
  <si>
    <t>All swim up to 40% off. Valid through 5/18/24 at 11:59PM PST. Discount as marked and in cart on qualifying products. Cannot be applied to previous purchases, no price adjustments. Offer does not apply to shipping or taxes. Not redeemable for gift cards, cash, or credit. Hanna Andersson reserves the right to modify or cancel this offer at any time.</t>
  </si>
  <si>
    <t>Kids on Sale Up to 40% Off
5/14-5/18</t>
  </si>
  <si>
    <t>Kids on sale up to 40% off. Valid through 5/18/24 at 11:59PM PST. Discount as marked and in cart on qualifying products. Cannot be applied to previous purchases, no price adjustments. Offer does not apply to shipping or taxes. Not redeemable for gift cards, cash, or credit. Hanna Andersson reserves the right to modify or cancel this offer at any time.</t>
  </si>
  <si>
    <t>Baby Mix &amp; Match: Buy 3 Get 30% Off
5/14-5/18</t>
  </si>
  <si>
    <t>Buy 3 or more qualifying products and get 30% off your order. Valid through 5/18/24 at 11:59PM PST. Discount taken at checkout with qualifying products in cart. Not valid with other offers or codes. Cannot be applied to previous purchases, no price adjustments. Offer does not apply to shipping or taxes. Not redeemable for gift cards, cash, or credit. Hanna Andersson reserves the right to modify or cancel this offer at any time.</t>
  </si>
  <si>
    <t>Memorial Day Sale up to 50% off Sitewide
5/19-5/27</t>
  </si>
  <si>
    <t>Up to 50% off everything sitewide. Prices as marked and in cart. Valid through 5/27/24 at 11:59PM PST. Not valid with select offers or codes. Offer cannot be applied to previous purchases, no price adjustments. Not redeemable for gift cards, cash, credit, taxes, or towards previous purchases. Hanna Andersson reserves the right to modify or cancel this offer at any time.</t>
  </si>
  <si>
    <t>All PJs on Sale Starting at $20
5/19-5/27</t>
  </si>
  <si>
    <t>All pajamas on sale starting at $20. Valid through 5/27/24 at 11:59PM PST. Discount as marked and in cart on qualifying products. Cannot be applied to previous purchases, no price adjustments. Offer does not apply to shipping or taxes. Not redeemable for gift cards, cash, or credit. Hanna Andersson reserves the right to modify or cancel this offer at any time.</t>
  </si>
  <si>
    <t>Sale on Sale: Extra 20% Off Clearance w/ code SALE20
5/21-5/22</t>
  </si>
  <si>
    <t>Extra 20% off Clearance with code SALE20. Valid through 5/22/2024 at 11:59PM PST. Code must be applied in cart. Cannot be applied to previous purchases, no price adjustments. Cannot be combined with other promotion codes. Offer does not apply to shipping or taxes. Not redeemable for gift cards, cash, or credit. Hanna Andersson reserves the right to modify or cancel this offer at any time.</t>
  </si>
  <si>
    <t>All Dresses Up to 50% Off 
5/28-6/3</t>
  </si>
  <si>
    <t>All dresses up to 50% off. Valid through 6/3/2024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</si>
  <si>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Collab Up to 40% Off 
5/28-6/3</t>
  </si>
  <si>
    <t>Collab Up to 40% off. Valid through 6/3/2024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</si>
  <si>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All Bluey 20% Off 
6/3 only</t>
  </si>
  <si>
    <t>All Bluey 20% off for one day only. Valid through 6/3/2024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</si>
  <si>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HannaSoft Extra 20% off w/ code SOFT20
6/10 only</t>
  </si>
  <si>
    <t>All Sleep on Sale Up to 50% Off 
6/4-6/10</t>
  </si>
  <si>
    <t>All sleep on sale up to 50% off. Valid through 6/10/2024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</si>
  <si>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RWB Up to 50% Off 
6/4-6/10</t>
  </si>
  <si>
    <t>Red, White, and Blue styles up to 50% off. Valid through 6/10/2024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</si>
  <si>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ALL Kids Clothing up to 50% off - include Boardwalk &amp; HannaSoft, excludes Bluey
6/11-6/17</t>
  </si>
  <si>
    <t>All kids clothing up to 50% off. Valid through 6/17/2024 at 11:59PM PST. Prices as marked and in cart. Cannot be applied to previous purchases, no price adjustments. Offer does not apply to shipping or taxes. Exclusions apply including Bluey products. Not redeemable for gift cards, cash, or credit. Hanna Andersson reserves the right to modify or cancel this offer at any time.</t>
  </si>
  <si>
    <t>ALL Swim up to 50% off (get it in time)
6/11-6/17</t>
  </si>
  <si>
    <t>All swim up to 50% off. Valid through 6/17/2024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</si>
  <si>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Loyalty 20% Off for Closedown of Memorial Day						
5/27</t>
  </si>
  <si>
    <t>All Baby Up to 50% Off
6/18-6/25</t>
  </si>
  <si>
    <t>All Baby on sale up to 50% off. Valid through 6/25/2024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</si>
  <si>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All Dresses Up to 50% Off 
6/18-6/25</t>
  </si>
  <si>
    <t>All Dresses on sale up to 50% off. Valid through 6/25/2024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</si>
  <si>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Hanna Sale:
 Up to 60% Off 
6/26-7/7</t>
  </si>
  <si>
    <t>Up to 60% off Hanna Sale. Valid through 7/7/2024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</si>
  <si>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Hanna Sale: 
Extra 20% off Clearance with Code BONUS20
7/1-7/7</t>
  </si>
  <si>
    <t>Extra 20% off Clearance with code BONUS20 . Valid through 7/7/2024 at 11:59PM PST. Code must be applied in cart. Cannot be applied to previous purchases, no price adjustments. Cannot be combined with other promotion codes. Exclusions may apply including Final Sale. Offer does not apply to shipping or taxes. Not redeemable for gift cards, cash, or credit. Hanna Andersson reserves the right to modify or cancel this offer at any time.</t>
  </si>
  <si>
    <t>Hanna Sale:
Up to 75% Off
7/8-7/11</t>
  </si>
  <si>
    <t>Up to 75% off Hanna Sale. Valid through 7/11/2024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</si>
  <si>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Hanna Sale:
Christmas in July
7/3-7/6</t>
  </si>
  <si>
    <t>Up to 60% off Holiday Pajamas. Valid through 7/6/2024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</si>
  <si>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Up to 75% Off Clearance
7/12-7/25</t>
  </si>
  <si>
    <t>Up to 75% off Clearance. Valid through 7/25/2024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</si>
  <si>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 xml:space="preserve">Mix &amp; Match Clothes: Buy 3 or more, get 30% off w/ code auto apply
7/12-7/18
</t>
  </si>
  <si>
    <t>Buy 3 or more qualifying products and get 30% off your order. Valid through 7/18/24 at 11:59PM PST. Discount taken at checkout with qualifying products in cart. Not valid with other offers or codes. Cannot be applied to previous purchases, no price adjustments. Offer does not apply to shipping or taxes. Not redeemable for gift cards, cash, or credit. Hanna Andersson reserves the right to modify or cancel this offer at any time.</t>
  </si>
  <si>
    <t>Flash Sale: 2 day only $20 Backpack &amp; $10 Lunchboxes (while supplies last)	
7/16-7/17</t>
  </si>
  <si>
    <t>$20 backpacks and $10 lunchboxes for 2 days only while supplies last. Valid through 7/17/2024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</si>
  <si>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Dresses Up to 30% Off 
7/17-7/25</t>
  </si>
  <si>
    <t>Dresses up to 30% off. Valid through 7/25/2024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</si>
  <si>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Extra 15% off your order w/ code EXTRA15
7/9</t>
  </si>
  <si>
    <t>Extra 15% off Your Purchase:  Apply code EXTRA15 at checkout. Valid on a single purchase through 11:59pm PT on 7/9/2024. Offer cannot be combined with other promotion codes and offers. Cannot be applied to previous purchase, no price adjustments. Not valid on select items: shipping or taxes. Exclusions apply including Final Sale. Not redeemable for gift cards, cash, credit, or towards previous purchases. Hanna Andersson reserves the right to modify or cancel this offer at any time.</t>
  </si>
  <si>
    <t>Hanna Flash Sale: 25% Sitewide* w/ code
7/26-7/29</t>
  </si>
  <si>
    <t>Extra 20% Off Order For Loyalty Members with code MEMBER20
7/17 only</t>
  </si>
  <si>
    <t>50% Off All Swim
7/23-7/24</t>
  </si>
  <si>
    <t>50% Off All Swim. Valid through 7/24/2024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</si>
  <si>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All Sleep on Sale Starting at $25
7/30-8/5</t>
  </si>
  <si>
    <t>All sleep on sale starting at $25. Valid through 8/5/2024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</si>
  <si>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Forever Favorites 40% Off
8/1-8/7</t>
  </si>
  <si>
    <t>Forever Favorites styles up to 40% off. Valid through 8/7/2024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</si>
  <si>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First Day Magic
Up to 40% Off New Back to School Stytles
8/6-8/12</t>
  </si>
  <si>
    <t>Up to 40% off new back to school styles. Valid through 8/12/2024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</si>
  <si>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Slumber Party!
All Sleep Up to 40% Off
8/13-8/18</t>
  </si>
  <si>
    <t>All sleep up to 40% off. Valid through 8/19/2024 at 11:59PM PST. Prices as marked and in cart. Cannot be applied to previous purchases, no price adjustments. Exclusions apply including Baggu and Crayola. Offer does not apply to shipping or taxes. Not redeemable for gift cards, cash, or credit. Hanna Andersson reserves the right to modify or cancel this offer at any time.</t>
  </si>
  <si>
    <t>All Halloween Up to 30% Off
8/13-8/18</t>
  </si>
  <si>
    <t>All Halloween up to 30% off. Valid through 8/18/2024 at 11:59PM PST. Prices as marked and in cart. Cannot be applied to previous purchases, no price adjustments. Exclusions apply including Baggu and Crayola. Offer does not apply to shipping or taxes. Not redeemable for gift cards, cash, or credit. Hanna Andersson reserves the right to modify or cancel this offer at any time.</t>
  </si>
  <si>
    <t>Back to School Kids Outfits up to 40% Off
8/19-8/23</t>
  </si>
  <si>
    <t>Back to school kids outfits up to 40% off. Valid through 8/23/2024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</si>
  <si>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Ready-Set-Twirl Event
8/19-8/23</t>
  </si>
  <si>
    <t>New Fall dresses up to 40% off. Valid through 8/23/2024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</si>
  <si>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LABOR DAY EVENT: Up to 40% Off Everything*
8/24-9/2</t>
  </si>
  <si>
    <t>Up to 40% off everything*. Valid through 9/2/2024 at 11:59PM PST. Prices as marked and in cart. Cannot be applied to previous purchases, no price adjustments. Exclusions may apply. Offer does not apply to shipping or taxes. Not redeemable for gift cards, cash, or credit. Hanna Andersson reserves the right to modify or cancel this offer at any time.</t>
  </si>
  <si>
    <t>LABOR DAY EVENT: Up to 40% Off Everything*
Surprise 1 Day Extension
9/3</t>
  </si>
  <si>
    <t>Up to 40% off everything*. Valid through 9/3/2024 at 11:59PM PST. Prices as marked and in cart. Cannot be applied to previous purchases, no price adjustments. Exclusions may apply. Offer does not apply to shipping or taxes. Not redeemable for gift cards, cash, or credit. Hanna Andersson reserves the right to modify or cancel this offer at any time.</t>
  </si>
  <si>
    <t>Semi-Annual HA Baby Event: All Baby up to 50% off (starting at $20)
9/4-9/10</t>
  </si>
  <si>
    <t>All Baby up to 50% off. Valid through 9/10/2024 at 11:59PM PST. Prices as marked and in cart. Cannot be applied to previous purchases, no price adjustments. Exclusions may apply. Offer does not apply to shipping or taxes. Not redeemable for gift cards, cash, or credit. Hanna Andersson reserves the right to modify or cancel this offer at any time.</t>
  </si>
  <si>
    <t>Halloween up to 40% off
9/4-9/10</t>
  </si>
  <si>
    <t>Halloween up to 40% off. Valid through 9/10/2024 at 11:59PM PST. Prices as marked and in cart. Cannot be applied to previous purchases, no price adjustments. Exclusions may apply. Offer does not apply to shipping or taxes. Not redeemable for gift cards, cash, or credit. Hanna Andersson reserves the right to modify or cancel this offer at any time.</t>
  </si>
  <si>
    <t>Halloween Starting at $25
9/11-9/17</t>
  </si>
  <si>
    <t>Halloween starting at $25. Valid through 9/17/2024 at 11:59PM PST. Prices as marked and in cart. Cannot be applied to previous purchases, no price adjustments. Exclusions may apply. Offer does not apply to shipping or taxes. Not redeemable for gift cards, cash, or credit. Hanna Andersson reserves the right to modify or cancel this offer at any time.</t>
  </si>
  <si>
    <t>All Dresses and Leggings Up to 40% Off
9/11-9/17</t>
  </si>
  <si>
    <t>All Dresses and leggings up to 40% off. Valid through 9/17/2024 at 11:59PM PST. Prices as marked and in cart. Cannot be applied to previous purchases, no price adjustments. Exclusions may apply. Offer does not apply to shipping or taxes. Not redeemable for gift cards, cash, or credit. Hanna Andersson reserves the right to modify or cancel this offer at any time.</t>
  </si>
  <si>
    <t>40% Off All Stripe PJS*
9/13-9/16</t>
  </si>
  <si>
    <t>40% off al Stripe PJs*. Valid through 9/16/2024 at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</si>
  <si>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Big Fall Sale: Up To 50% Off Everything
9/18-9/22</t>
  </si>
  <si>
    <t>Big Fall Sale up to 50% off. Valid through 9/22/2024 at 11:59PM PST. Prices as marked and in cart. Cannot be applied to previous purchases, no price adjustments. Exclusions apply including New Arrivals. Offer does not apply to shipping or taxes. Not redeemable for gift cards, cash, or credit. Hanna Andersson reserves the right to modify or cancel this offer at any time.</t>
  </si>
  <si>
    <t>Big Fall Sale: Up to 75% Off Clearance
9/20-9/22</t>
  </si>
  <si>
    <t>Big Fall Sale up to 75% off clearance. Valid through 9/22/2024 at 11:59PM PST. Prices as marked and in cart. Cannot be applied to previous purchases, no price adjustments. Offer valid on Clearance items only. Offer does not apply to shipping or taxes. Not redeemable for gift cards, cash, or credit. Hanna Andersson reserves the right to modify or cancel this offer at any time.</t>
  </si>
  <si>
    <t>Sleep Up To 30% Off
9/23-9/30</t>
  </si>
  <si>
    <t>Sleep up to 30% off. Valid through 9/30/2024 at 11:59PM PST. Prices as marked and in cart. Cannot be applied to previous purchases, no price adjustments. Exclusions may apply. Offer does not apply to shipping or taxes. Not redeemable for gift cards, cash, or credit. Hanna Andersson reserves the right to modify or cancel this offer at any time.</t>
  </si>
  <si>
    <t>The Twirl Event
Dresses Up to 40% Off 
9/23-9/30</t>
  </si>
  <si>
    <t>Dresses up to 40% off. Valid through 9/30/2024 at 11:59PM PST. Prices as marked and in cart. Cannot be applied to previous purchases, no price adjustments. Exclusions may apply. Offer does not apply to shipping or taxes. Not redeemable for gift cards, cash, or credit. Hanna Andersson reserves the right to modify or cancel this offer at any time.</t>
  </si>
  <si>
    <t>Sleep Starting at $25
10/1-10/8</t>
  </si>
  <si>
    <t>Sleep starting at $25. Valid through 10/8/2024 at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</si>
  <si>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Cozy Outfitting Up to 40% Off
10/3-10/7</t>
  </si>
  <si>
    <t>Cozy outfitting up to 40% off. Valid through 10/7/2024 at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</si>
  <si>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One Day Only! All Halloween $25
10/6</t>
  </si>
  <si>
    <t>All Halloween $25. Valid for one day only on 10/6/2024 until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</si>
  <si>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Friends &amp; Family 40% Off Everything
10/9-10/20</t>
  </si>
  <si>
    <t>Friends and Family 40% off everything. Valid through 10/20/2024 until 11:59PM PST. Prices as marked and in cart. Cannot be applied to previous purchases, no price adjustments. Exclusions may apply. Offer does not apply to shipping or taxes. Not redeemable for gift cards, cash, or credit. Hanna Andersson reserves the right to modify or cancel this offer at any time.</t>
  </si>
  <si>
    <t>All Halloween PJS 60% Off*
10/14-10/15</t>
  </si>
  <si>
    <t>All Halloween pajamas 60% off*. Valid through 10/15/2024 until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</si>
  <si>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Pajamas From $25
10/22-10/28</t>
  </si>
  <si>
    <t>Pajamas from $25. Valid through 10/28/2024 until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</si>
  <si>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Holiday Dress Up: Up to 40% Off 
10/22-10/27</t>
  </si>
  <si>
    <t>Holiday Dress Up up to 40% off. Valid through 10/27/2024 until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</si>
  <si>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Dresses Up to 40% Off 
10/29-11/1</t>
  </si>
  <si>
    <t>Dresses Up to 40% Off. Valid through 11/1/2024 until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</si>
  <si>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Cozy Layers up to 40% Off 
10/29-11/1</t>
  </si>
  <si>
    <t>Cozy Layers up to 40% Off. Valid through 11/1/2024 until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</si>
  <si>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Extra 25% Off Clearance
10/26-10/27</t>
  </si>
  <si>
    <t>Extra 25% Off Clearance. Valid through 10/27/2024 until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</si>
  <si>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40% Off Sitewide*
11/1-11/3</t>
  </si>
  <si>
    <t>40% Off Sitewide*. Valid through 11/3/2024 until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</si>
  <si>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All Family Match Sleep on Sale Up to 40% Off
11/4-11/11</t>
  </si>
  <si>
    <t>Family Match Sleep up to 40% Off. Valid through 11/11/2024 until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</si>
  <si>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Holiday Comfy Dress Up Up to 40% Off
11/4-11/10</t>
  </si>
  <si>
    <t>Holiday Comfy Dress-Up up to 40% off. Valid through 11/10/2024 until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</si>
  <si>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Dress Up Event Up to 40% Off
11/12-11/15</t>
  </si>
  <si>
    <t>Dresses up to 40% off. Valid through 11/15/2024 until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</si>
  <si>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Sleep Up To 40% Off
11/12-11/15</t>
  </si>
  <si>
    <t>Sleep up to 40% off. Valid through 11/15/2024 until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</si>
  <si>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Early Black Friday: 40% Off Sitewide* w/ exclusions
11/16-11/18</t>
  </si>
  <si>
    <t>40% off sitewide*. Valid through 11/18/2024 until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</si>
  <si>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Early Black Friday: 40% Off Everything* w/ exclusions
11/19-11/24</t>
  </si>
  <si>
    <t>40% off everything*. Valid through 11/24/2024 until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</si>
  <si>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Early Black Friday: 50% Off All Pajamas
11/19-11/24</t>
  </si>
  <si>
    <t>50% off all pajamas. Valid through 11/24/2024 until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</si>
  <si>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Extra 20% Off Clearance
11/23-11/24</t>
  </si>
  <si>
    <t>Extra 20% Off Clearance. Valid through 11/24/2024 until 11:59PM PST. Prices as marked and in cart. Cannot be applied to previous purchases, no price adjustments. Exclusions apply including Final Sale. Offer does not apply to shipping or taxes. Not redeemable for gift cards, cash, or credit. Hanna Andersson reserves the right to modify or cancel this offer at any time.</t>
  </si>
  <si>
    <t>Black Friday: 50% Off Everything
11/25-11/29</t>
  </si>
  <si>
    <t>50% off everything. Valid through 11/29/2024 until 11:59PM PST. Prices as marked and in cart. Cannot be applied to previous purchases, no price adjustments. Exclusions may apply. Offer does not apply to shipping or taxes. Not redeemable for gift cards, cash, or credit. Hanna Andersson reserves the right to modify or cancel this offer at any time.</t>
  </si>
  <si>
    <t>Cyber Event: 50% Off Everything
11/30-12/2</t>
  </si>
  <si>
    <t>50% Off Everything. Valid through 12/2/2024 until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</si>
  <si>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Cyber Event Surprise Extension: 50% Off Everything
12/3</t>
  </si>
  <si>
    <t>50% Off Everything. Valid through 12/3/2024 until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</si>
  <si>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All PJS on Sale Starting at $20
12/4-12/11</t>
  </si>
  <si>
    <t>All Pajamas on sale starting at $20. Valid through 12/11/2024 until 11:59PM PST. Prices as marked and in cart. Cannot be applied to previous purchases, no price adjustments. Exclusions may apply. Offer does not apply to shipping or taxes. Not redeemable for gift cards, cash, or credit. Hanna Andersson reserves the right to modify or cancel this offer at any time.</t>
  </si>
  <si>
    <t>Comfy Dress Up - Up to 50% Off
12/4-12/10</t>
  </si>
  <si>
    <t>Up to 50% off Comfy Dress Up Styles. Valid through 12/10/2024 until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</si>
  <si>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50% Off All Holiday Pajamas
12/12-12/15</t>
  </si>
  <si>
    <t>50% off all Holiday Pajamas. Valid through 12/15/2024 until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</si>
  <si>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40% Off Sitewide
12/12-12/15</t>
  </si>
  <si>
    <t>40% off sitewide* excludes New Arrivals. Valid through 12/15/2024 until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</si>
  <si>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Farewell Iconic Prints Now Just $15
12/12-12/15</t>
  </si>
  <si>
    <t>Farewell iconic prints now $15. Valid through 12/15/2024 until 11:59PM PST. Prices as marked and in cart. Qualifying products are non-returnable. Cannot be applied to previous purchases, no price adjustments. Offer does not apply to shipping or taxes. Not redeemable for gift cards, cash, or credit. Hanna Andersson reserves the right to modify or cancel this offer at any time.</t>
  </si>
  <si>
    <t>All Holiday On Sale Up to 50% Off
12/16-12/25</t>
  </si>
  <si>
    <t>All Holiday on sale up to 50% off. Valid through 12/25/2024 until 11:59PM PST. Prices as marked and in cart. Cannot be applied to previous purchases, no price adjustments. Offer does not apply to shipping or taxes. Not redeemable for gift cards, cash, or credit. Hanna Andersson reserves the right to modify or cancel this offer at any time.</t>
  </si>
  <si>
    <t>Free 3-day Shipping with 
$100 Thresh non-Loyalty	
12/16-12/18</t>
  </si>
  <si>
    <t>Free 3-day shipping on orders of $100 or more shipped to a single address in the contiguous U.S. (excludes HI, AK, APO, FPO, DPO and PO Boxes). Valid through 12/18/2024. Excludes oversize and international shipments. Cannot be combined with other shipping offers or discounts. Not valid on previous orders, no price adjustments on shipping. Hanna Andersson reserves the right to modify or cancel this offer at any time.</t>
  </si>
  <si>
    <t>Free 3-day Shipping with
$50 Thresh Loyalty
12/16-12/18</t>
  </si>
  <si>
    <t>Free 3-day shipping on orders of $50 or more for Hanna Rewards members shipped to a single address in the contiguous U.S. (excludes HI, AK, APO, FPO, DPO and PO Boxes). Valid through 12/18/2024. Excludes oversize and international shipments. Cannot be combined with other shipping offers or discounts. Not valid on previous orders, no price adjustments on shipping. Hanna Andersson reserves the right to modify or cancel this offer at any time.</t>
  </si>
  <si>
    <t>$15 next day on all orders
12/19-12/22</t>
  </si>
  <si>
    <t>$15 Next Day Shipping on orders placed by 11:00AM PST on 12/22/24 and shipped to a single U.S. address. Next day shipping not available to PO Boxes, HI, AK, PR/USVI/US Territories, APO/FPO/DPO. Excludes oversize and international shipments. Cannot be combined with other shipping offers or discounts. Not valid on previous orders, no price adjustments on shipping. Hanna Andersson reserves the right to modify or cancel this offer at any time</t>
  </si>
  <si>
    <r>
      <rPr>
        <b/>
        <sz val="11"/>
        <color rgb="FF000000"/>
        <rFont val="Calibri"/>
        <family val="2"/>
        <scheme val="minor"/>
      </rPr>
      <t xml:space="preserve">Hanna Sale
</t>
    </r>
    <r>
      <rPr>
        <sz val="11"/>
        <color rgb="FF000000"/>
        <rFont val="Calibri"/>
        <family val="2"/>
        <scheme val="minor"/>
      </rPr>
      <t>Up to 60% Off 
12/26-12/29</t>
    </r>
  </si>
  <si>
    <t>Up to 60% off. Valid through 12/29/2024 until 11:59PM PST. Prices as marked and in cart. Cannot be applied to previous purchases, no price adjustments. Offer does not apply to shipping or taxes. Not redeemable for gift cards, cash, or credit. Hanna Andersson reserves the right to modify or cancel this offer at any time.</t>
  </si>
  <si>
    <r>
      <rPr>
        <b/>
        <sz val="11"/>
        <color rgb="FF000000"/>
        <rFont val="Calibri"/>
        <family val="2"/>
        <scheme val="minor"/>
      </rPr>
      <t xml:space="preserve">Hanna Sale
</t>
    </r>
    <r>
      <rPr>
        <sz val="11"/>
        <color rgb="FF000000"/>
        <rFont val="Calibri"/>
        <family val="2"/>
        <scheme val="minor"/>
      </rPr>
      <t>Up to 60% Off 
12/30-1/3</t>
    </r>
  </si>
  <si>
    <t>Up to 60% off. Valid through 1/3/2025 until 11:59PM PST. Prices as marked and in cart. Cannot be applied to previous purchases, no price adjustments. Offer does not apply to shipping or taxes. Not redeemable for gift cards, cash, or credit. Hanna Andersson reserves the right to modify or cancel this offer at any time.</t>
  </si>
  <si>
    <r>
      <rPr>
        <b/>
        <sz val="11"/>
        <color rgb="FF000000"/>
        <rFont val="Calibri"/>
        <family val="2"/>
        <scheme val="minor"/>
      </rPr>
      <t xml:space="preserve">Hanna Sale
</t>
    </r>
    <r>
      <rPr>
        <sz val="11"/>
        <color rgb="FF000000"/>
        <rFont val="Calibri"/>
        <family val="2"/>
        <scheme val="minor"/>
      </rPr>
      <t>Extra 20% Off Clearance w/ code GOINGFAST20
12/30-1/3</t>
    </r>
  </si>
  <si>
    <t>Extra 20% off Clearance with code GOINGFAST20. Valid through 11:59pm PT on 1/3/2024. Discount taken at checkout with code GOINGFAST20 on qualifying products. Offer cannot be combined with additional coupon offers or codes. Cannot be applied to previous purchases, no price adjustments. Not valid on Final Sale, shipping or taxes. Not redeemable for gift cards, cash, credit, or towards previous purchases. Hanna Andersson reserves the right to modify or cancel this offer at any time.</t>
  </si>
  <si>
    <r>
      <rPr>
        <b/>
        <sz val="11"/>
        <color rgb="FF000000"/>
        <rFont val="Calibri"/>
        <family val="2"/>
        <scheme val="minor"/>
      </rPr>
      <t xml:space="preserve">Hanna Sale
</t>
    </r>
    <r>
      <rPr>
        <sz val="11"/>
        <color rgb="FF000000"/>
        <rFont val="Calibri"/>
        <family val="2"/>
        <scheme val="minor"/>
      </rPr>
      <t>Extra 15% off order w/ code 15FORFUN
12/28-12/29</t>
    </r>
  </si>
  <si>
    <t>Extra 15% off your order with code 15FORFUN at checkout. Valid on a single purchase through 11:59pm PT on 12/29/2024. Offer cannot be combined with other promotion codes and offers. Cannot be applied to previous purchase, no price adjustments. Not valid on select items: Final Sale, shipping or taxes. Not redeemable for gift cards, cash, credit, or towards previous purchases. Hanna Andersson reserves the right to modify or cancel this offer at any time.</t>
  </si>
  <si>
    <r>
      <rPr>
        <b/>
        <sz val="11"/>
        <color rgb="FF000000"/>
        <rFont val="Calibri"/>
        <family val="2"/>
        <scheme val="minor"/>
      </rPr>
      <t xml:space="preserve">Hanna Sale
</t>
    </r>
    <r>
      <rPr>
        <sz val="11"/>
        <color rgb="FF000000"/>
        <rFont val="Calibri"/>
        <family val="2"/>
        <scheme val="minor"/>
      </rPr>
      <t>Up to 60% Off 
1/4-1/5</t>
    </r>
  </si>
  <si>
    <t>Up to 60% off. Valid through 1/5/2025 until 11:59PM PST. Prices as marked and in cart. Cannot be applied to previous purchases, no price adjustments. Offer does not apply to shipping or taxes. Not redeemable for gift cards, cash, or credit. Hanna Andersson reserves the right to modify or cancel this offer at any time.</t>
  </si>
  <si>
    <r>
      <rPr>
        <b/>
        <sz val="11"/>
        <color rgb="FF000000"/>
        <rFont val="Calibri"/>
        <family val="2"/>
        <scheme val="minor"/>
      </rPr>
      <t xml:space="preserve">Hanna Sale
</t>
    </r>
    <r>
      <rPr>
        <sz val="11"/>
        <color rgb="FF000000"/>
        <rFont val="Calibri"/>
        <family val="2"/>
        <scheme val="minor"/>
      </rPr>
      <t>2 Day Flash Sale: $15 Select Pajamas
1/4-1/5</t>
    </r>
  </si>
  <si>
    <t>$15 select pajamas. Valid through 1/5/2025 until 11:59PM PST. Prices as marked and in cart. Cannot be applied to previous purchases, no price adjustments. Offer does not apply to shipping or taxes. Ineligible for return. Not redeemable for gift cards, cash, or credit. Hanna Andersson reserves the right to modify or cancel this offer at any time.</t>
  </si>
  <si>
    <r>
      <rPr>
        <b/>
        <sz val="11"/>
        <color rgb="FF000000"/>
        <rFont val="Calibri"/>
        <family val="2"/>
        <scheme val="minor"/>
      </rPr>
      <t xml:space="preserve">Hanna Sale
</t>
    </r>
    <r>
      <rPr>
        <sz val="11"/>
        <color rgb="FF000000"/>
        <rFont val="Calibri"/>
        <family val="2"/>
        <scheme val="minor"/>
      </rPr>
      <t>Up to 70% Off 
1/6-1/8</t>
    </r>
  </si>
  <si>
    <t>Up to 70% off. Valid through 1/8/2025 until 11:59PM PST. Prices as marked and in cart. Cannot be applied to previous purchases, no price adjustments. Offer does not apply to shipping or taxes. Not redeemable for gift cards, cash, or credit. Hanna Andersson reserves the right to modify or cancel this offer at any time.</t>
  </si>
  <si>
    <t>Valentine's Day Up to 30% Off 
1/9-1/15</t>
  </si>
  <si>
    <t>Up to 30% off Valentine's Day. Valid through 1/15/2025 until 11:59PM PST. Prices as marked and in cart. Cannot be applied to previous purchases, no price adjustments. Offer does not apply to shipping or taxes. Not redeemable for gift cards, cash, or credit. Hanna Andersson reserves the right to modify or cancel this offer at any time.</t>
  </si>
  <si>
    <t>New Year's Event: Up to 70% Off Clearance
1/9-1/15</t>
  </si>
  <si>
    <t>Up to 70% off Clearance items. Valid through 1/15/2025 until 11:59PM PST. Prices as marked and in cart on qualifying Clearance items. Cannot be applied to previous purchases, no price adjustments. Offer does not apply to shipping or taxes. Not redeemable for gift cards, cash, or credit. Hanna Andersson reserves the right to modify or cancel this offer at any time.</t>
  </si>
  <si>
    <t>Up to 30% Off Pajamas
1/16-1/20</t>
  </si>
  <si>
    <t>Up to 30% off pajamas. Valid through 1/20/2025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</si>
  <si>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Vday up to 40% Off 
1/21-1/27</t>
  </si>
  <si>
    <t>Up to 40% off all Valentine's Day. Valid through 1/27/2025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</si>
  <si>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Dresses Up to 30% Off 
1/21-1/27</t>
  </si>
  <si>
    <t>Up to 30% off Dresses. Valid through 1/27/2025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</si>
  <si>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Kids Outfitting Mix and Match 2 or More for 30% Off
1/28-2/3</t>
  </si>
  <si>
    <t>Mix and match two or more qualifying kids products and get 30% off with code MIXMATCH. Valid through 2/3/2025 until 11:59PM PST. Discoutn taken in cart with code on qualifying items. Cannot be applied to previous purchases, no price adjustments. Offer does not apply to shipping or taxes. Not redeemable for gift cards, cash, or credit. Hanna Andersson reserves the right to modify or cancel this offer at any time.</t>
  </si>
  <si>
    <t>Sleep Up to 30% Off
1/28-2/2</t>
  </si>
  <si>
    <t>Up to 30% off Pajamas. Valid through 2/2/2025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</si>
  <si>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Semi-Annual Baby Event: All Baby up to 30% off* (Sleep starting at $25)
2/4-2/9</t>
  </si>
  <si>
    <t>All Baby up to 30% off* with pajamas starting at $25. Valid through 2/9/2025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</si>
  <si>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Up to 30% Off Kid's Must Haves
2/4-2/9</t>
  </si>
  <si>
    <t>Up to 30% off Kid's must have apparel. Valid through 2/9/2025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</si>
  <si>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Semi-Annual Baby Event: All Baby up to 30% off*
2/4-2/9</t>
  </si>
  <si>
    <t>All Baby up to 30% off*. Valid through 2/9/2025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</si>
  <si>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Semi-Annual Baby Event: Sleep starting at $25
2/4-2/9</t>
  </si>
  <si>
    <t>Baby pajamas starting at $25. Valid through 2/9/2025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</si>
  <si>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The PJ Parade: 
Up to 30% off Pajamas
2/10-2/13</t>
  </si>
  <si>
    <t>Up to 30% off pajamas. Valid through 2/13/2025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</si>
  <si>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Presidents' Day Event Extra 25% off Every.Single.Thing. 
W/ Code WKND25 (code on site, not auto-apply) - excl Final Sale 
2/14-2/17</t>
  </si>
  <si>
    <t>Extra 25% off order with code WKND25. Valid through 2/17/2025 until 11:59PM PST. Discount taken in cart with code on qualifying items. Cannot be applied to previous purchases, no price adjustments. Cannot be combined with other promotion codes. Offer does not apply to Final Sale, shipping or taxes. Not redeemable for gift cards, cash, or credit. Hanna Andersson reserves the right to modify or cancel this offer at any time.</t>
  </si>
  <si>
    <t>Presidents' Day Event Extra 25% off Every.Single.Thing. 
W/ Code WKND25 (code on site, not auto-apply) - excl Final Sale 
2/14-2/18</t>
  </si>
  <si>
    <t>Extra 25% off order with code WKND25. Valid through 2/18/2025 until 11:59PM PST. Discount taken in cart with code on qualifying items. Cannot be applied to previous purchases, no price adjustments. Cannot be combined with other promotion codes. Offer does not apply to Final Sale, shipping or taxes. Not redeemable for gift cards, cash, or credit. Hanna Andersson reserves the right to modify or cancel this offer at any time.</t>
  </si>
  <si>
    <t>Spring Slumber Party:
Up to 30% off Pajamas
2/19-2/23</t>
  </si>
  <si>
    <t>Up to 30% off pajamas. Valid through 2/23/2025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</si>
  <si>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Made To Play Event:
Up to 30% off Kids Outfit Faves
2/19-2/24</t>
  </si>
  <si>
    <t>Up to 30% off kids's outfit favorites. Valid through 2/24/2025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</si>
  <si>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Dreamy Dress Event:
Up to 30% off Dresses
2/25-3/3</t>
  </si>
  <si>
    <t>Up to 30% off dresses. Valid through 3/3/2025 until 11:59PM PST. Prices as marked and in cart on qualifying items. Cannot be applied to previous purchases, no price adjustments. Offer does not apply to shipping or taxes. Exclusions apply. Not redeemable for gift cards, cash, or credit. Hanna Andersson reserves the right to modify or cancel this offer at any time.</t>
  </si>
  <si>
    <t>The Big Splash:
Up to 30% off Swim
2/25-3/2</t>
  </si>
  <si>
    <t>Up to 30% off swimwear. Valid through 3/2/2025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</si>
  <si>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Extra 20% off Clearance
3/1-3/2</t>
  </si>
  <si>
    <t>Extra 20% off clearance items. Valid through 3/2/2025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</si>
  <si>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Spring Break Up to 30% Off
3/4-3/10</t>
  </si>
  <si>
    <t>Up to 30% off select shorts, t-shirts, and swimwear. Valid through 3/10/2025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</si>
  <si>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Up to 30% Off Easter
3/4-3/9</t>
  </si>
  <si>
    <t>Up to 30% off Easter. Valid through 3/9/2025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</si>
  <si>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Kids &amp; Baby Sleep 30% off
3/11-3/17</t>
  </si>
  <si>
    <t>All kids and baby pajamas 30% off. Valid through 3/17/2025 until 11:59PM PST. Prices as marked and in cart on qualifying items. Cannot be applied to previous purchases, no price adjustments. Exclusions apply. Offer does not apply to shipping or taxes. Not redeemable for gift cards, cash, or credit. Hanna Andersson reserves the right to modify or cancel this offer at any time.</t>
  </si>
  <si>
    <t>All up to Swim 30% off
3/11-3/16</t>
  </si>
  <si>
    <t>All swimwear up to 30% off. Valid through 3/16/2025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</si>
  <si>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Spring Dress Fest 
Up to 30% off ALL Dresses
3/18-3/20</t>
  </si>
  <si>
    <t>All dresses up to 30% off. Valid through 3/20/2025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</si>
  <si>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Spring Softness Event 
Hannasoft PJs from $25		
3/18-3/20</t>
  </si>
  <si>
    <t>HannaSoft Pajamas from $25. Valid through 3/20/2025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</si>
  <si>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Spring Sale up to 40% off Everything* (redlines)	
3/21-3/24</t>
  </si>
  <si>
    <t>Up to 40% Off Everything*. Valid through 3/24/2025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</si>
  <si>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Hoppy Hanna Event Up to 40% off Easter Styles  
3/25-3/31</t>
  </si>
  <si>
    <t>Up to 40% Off Easter. Valid through 3/31/2025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</si>
  <si>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The Deep Dive 30% off All Swim
3/25-3/30</t>
  </si>
  <si>
    <t>30% off all Swimwear. Valid through 3/30/2025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</si>
  <si>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The Big Twirl
Up to 30% Off All Dresses
4/1-4/7</t>
  </si>
  <si>
    <t>Up to 30% off all Dresses. Valid through 4/7/2025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</si>
  <si>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The Big Twirl
All Dresses 30% Off 
4/1-4/7</t>
  </si>
  <si>
    <t>All dresses 30% off. Valid through 4/7/2025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</si>
  <si>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Perfect PJ Event 
Sleep Up to 30% Off
4/1-4/6</t>
  </si>
  <si>
    <t>Pajamas up to 30% off. Valid through 4/6/2025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</si>
  <si>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Perfect PJ Event 
Sleep Up to 40% Off
4/1-4/6</t>
  </si>
  <si>
    <t>Pajamas up to 40% off. Valid through 4/6/2025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</si>
  <si>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20% Off Clearance w/ Code TREAT20
4/4-4/6</t>
  </si>
  <si>
    <t>Extra 20% off Clearance with code TREAT20. Valid through 11:59pm PT on 4/06/2025. Discount taken at checkout with code TREAT20 on qualifying products. Offer cannot be combined with additional coupon offers or codes. Cannot be applied to previous purchases, no price adjustments. Only valid to customers billing and shipping within the US. Not valid on Final Sale, shipping or taxes. Not redeemable for gift cards, cash, credit, or towards previous purchases. Hanna Andersson reserves the right to modify or cancel this offer at any time.</t>
  </si>
  <si>
    <t>All Easter on Sale up to 50% Off
4/8-4/14</t>
  </si>
  <si>
    <t>All Easter styles upt to 50% off. Valid through 4/14/2025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</si>
  <si>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New Arrivals 25% Off w/ Code SUMMER25
4/11-4/13</t>
  </si>
  <si>
    <t>Extra 25% off New Arrivals with code SUMMER25. Valid through 11:59pm PT on 4/13/25. Discount taken at checkout with code SUMMER25 on qualifying products. Offer cannot be combined with additional coupon offers or codes. Cannot be applied to previous purchases, no price adjustments. Not valid on Final Sale, shipping or taxes. Not redeemable for gift cards, cash, credit, or towards previous purchases. Hanna Andersson reserves the right to modify or cancel this offer at any time.</t>
  </si>
  <si>
    <t>New Summer Favorites up to 30% off
4/15-4/20</t>
  </si>
  <si>
    <t>Up to 30% off New Arrivals* exclusions apply. Valid through 4/20/2025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</si>
  <si>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ShortJohns Starting at $25
4/15-4/20</t>
  </si>
  <si>
    <t>ShortJohns starting at $25. Valid through 4/20/2025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</si>
  <si>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Swim 30% Off
4/21-4/22</t>
  </si>
  <si>
    <t>All swim 30% off. Valid through 4/22/2025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</si>
  <si>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Mommy &amp; Me and Sibling Match up to 30% off 	
4/21-4/22</t>
  </si>
  <si>
    <t>Up to 30% off Mommy &amp; Me and Sibling Match styles. Valid through 4/22/2025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</si>
  <si>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Friends &amp; Family: 40% Off Sitewide*	
4/24-5/5</t>
  </si>
  <si>
    <t>40% off sitewide*. Exclusions apply. Valid through 5/5/2025 at 11:59PM PST. Prices as marked and in cart. Cannot be combined with other offers. Cannot be applied to previous purchases, no price adjustments. Excludes Hanna-Me-Downs resale transactions. Offer does not apply to shipping or taxes. Not redeemable for gift cards, cash, or credit. Hanna Andersson reserves the right to modify or cancel this offer at any time.</t>
  </si>
  <si>
    <t>For extension</t>
  </si>
  <si>
    <t>Friends &amp; Family: 40% Off Sitewide*	
4/24-5/6</t>
  </si>
  <si>
    <t>40% off sitewide*. Exclusions apply. Valid through 5/6/2025 at 11:59PM PST. Prices as marked and in cart. Cannot be combined with other offers. Cannot be applied to previous purchases, no price adjustments. Excludes Hanna-Me-Downs resale transactions. Offer does not apply to shipping or taxes. Not redeemable for gift cards, cash, or credit. Hanna Andersson reserves the right to modify or cancel this offer at any time.</t>
  </si>
  <si>
    <t>20% Off Star Wars w/ code MT4	
5/4</t>
  </si>
  <si>
    <t>30% Off All Dresses*	
5/7-5/12</t>
  </si>
  <si>
    <t>30% off all dresses*. Exclusions apply. Valid through 5/12/2025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</si>
  <si>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Up to 40% off PJs	
5/7-5/11</t>
  </si>
  <si>
    <t>Up to 40% off pajamas. Valid through 5/11/2025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</si>
  <si>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Swim Up to 40% Off 
5/13-5/15</t>
  </si>
  <si>
    <r>
      <rPr>
        <sz val="11"/>
        <color rgb="FF000000"/>
        <rFont val="Calibri"/>
        <family val="2"/>
      </rPr>
      <t xml:space="preserve">All swimwear up to 40% off. Valid through </t>
    </r>
    <r>
      <rPr>
        <b/>
        <sz val="11"/>
        <color rgb="FF000000"/>
        <rFont val="Calibri"/>
        <family val="2"/>
      </rPr>
      <t>5/16/2025</t>
    </r>
    <r>
      <rPr>
        <sz val="11"/>
        <color rgb="FF000000"/>
        <rFont val="Calibri"/>
        <family val="2"/>
      </rPr>
      <t xml:space="preserve">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r>
  </si>
  <si>
    <t>All Baby Up to 40% Off 
5/13-5/15</t>
  </si>
  <si>
    <r>
      <rPr>
        <sz val="11"/>
        <color rgb="FF000000"/>
        <rFont val="Calibri"/>
        <family val="2"/>
      </rPr>
      <t xml:space="preserve">All baby up to 40% off. Valid through </t>
    </r>
    <r>
      <rPr>
        <b/>
        <sz val="11"/>
        <color rgb="FF000000"/>
        <rFont val="Calibri"/>
        <family val="2"/>
      </rPr>
      <t>5/16/2025</t>
    </r>
    <r>
      <rPr>
        <sz val="11"/>
        <color rgb="FF000000"/>
        <rFont val="Calibri"/>
        <family val="2"/>
      </rPr>
      <t xml:space="preserve">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r>
  </si>
  <si>
    <t>Memorial Day Sale All up to 50% off Every.Single.Thing.
5/16-5/26</t>
  </si>
  <si>
    <t>Up to 50% off every single thing. Valid through 5/26/2025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</si>
  <si>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15% Off Clearance w/ code SALE15
5/20-5/21</t>
  </si>
  <si>
    <t>20% Off Order w/ code MDW20
5/23-5/25</t>
  </si>
  <si>
    <t>Extra 20% off your order with code MDW20 at checkout. Valid on a single purchase through 11:59pm PT on 5/25/2025. Offer cannot be combined with other promotion codes and offers. Cannot be applied to previous purchase, no price adjustments. Not valid on select items: Final Sale, shipping or taxes. Only eligible to those with a US shipping and billing address. Not redeemable for gift cards, cash, credit, or towards previous purchases. Hanna Andersson reserves the right to modify or cancel this offer at any time.</t>
  </si>
  <si>
    <t>Select PJs On Sale at $20
5/16-5/26</t>
  </si>
  <si>
    <t>Select pajamas on sale at $20. Valid through 05/26/2025 until 11:59PM PST. Prices as marked and in cart. Cannot be applied to previous purchases, no price adjustments. Exclusions may apply. Offer does not apply to shipping or taxes. Not redeemable for gift cards, cash, or credit. Hanna Andersson reserves the right to modify or cancel this offer at any time.</t>
  </si>
  <si>
    <t>Summer Dresses Up to 50% Off
5/27-6/2</t>
  </si>
  <si>
    <t>Dresses up to 50% off. Exclusions apply. Valid through 6/2/2025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</si>
  <si>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Kids Up to 40% Off 
5/27-6/1</t>
  </si>
  <si>
    <t>All kids up to 40% off. Exclusions apply. Valid through 6/1/2025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</si>
  <si>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CONTINGENCY</t>
  </si>
  <si>
    <t>All Swim Up to 40% Off 
5/27-6/1</t>
  </si>
  <si>
    <t>All Swim up to 40% off. Valid through 6/1/2025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</si>
  <si>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PJs* on sale up to 50% off
6/3-6/9</t>
  </si>
  <si>
    <t>All PJs* on sale up to 50% off. Valid through 6/9/2025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</si>
  <si>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PJs* on sale starting from/at $20 
6/3-6/9</t>
  </si>
  <si>
    <t>All PJs* on sale starting from $20. Valid through 6/9/2025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</si>
  <si>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Dresses 40% Off
6/3-6/8</t>
  </si>
  <si>
    <t>All Dresses 40% off. Valid through 6/8/2025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</si>
  <si>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Up to 50% Off All Swim
6/10-6/16</t>
  </si>
  <si>
    <t>Up to 50% off all Swimwear. Valid through 6/16/2025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</si>
  <si>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Up to 50% Off All Red, White, &amp; Blue
6/10-6/15</t>
  </si>
  <si>
    <t>Up to 50% off all Red, White, and Blue products. Valid through 6/15/2025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</si>
  <si>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Up to 50% Off All Dresses*
6/17-6/20</t>
  </si>
  <si>
    <t>Up to 50% off all Dresses*. Exclusions apply. Valid through 6/20/2025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</si>
  <si>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Up to 50% Off All Pajamas*
6/17-6/20</t>
  </si>
  <si>
    <t>Up to 50% off all Pajamas*. Exclusions apply. Valid through 6/20/2025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</si>
  <si>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Hanna Sale Up to 60% Off
6/21-7/3</t>
  </si>
  <si>
    <t>Up to 60% off Hanna Sale. Exclusions apply. Valid through 7/3/2025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</si>
  <si>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Hanna Sale Up to 70% Off
7/4-7/8</t>
  </si>
  <si>
    <t>Up to 70% off Hanna Sale. Exclusions apply. Valid through 7/8/2025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</si>
  <si>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Christmas In July
Holiday Pajamas Starting at $15
7/1-7/2</t>
  </si>
  <si>
    <t>Holiday pajamas starting at $15. Exclusions apply. Valid through 7/2/2025 until 11:59PM PST. Prices as marked and in cart on qualifying items. Cannot be applied to previous purchases, no price adjustments. Items ending in 79 cents are Final Sale and non-returnable. Offer does not apply to shipping or taxes. Not redeemable for gift cards, cash, or credit. Hanna Andersson reserves the right to modify or cancel this offer at any time.</t>
  </si>
  <si>
    <t>Loyalty Only - 15% Off Order w/ code REWARD15
6/25-6/26</t>
  </si>
  <si>
    <t>Extra 20% Off Clearance w/ Code GOINGFAST20
6/27-6/30</t>
  </si>
  <si>
    <t>Extra 20% off Clearance with code GOINGFAST20. Valid through 11:59pm PT on 6/30/2025. Discount taken at checkout with code GOINGFAST20 on qualifying products. Offer cannot be combined with additional coupon offers or codes. Cannot be applied to previous purchases, no price adjustments. Eligible to customers with US shipping and billing address only. Not valid on Final Sale, shipping or taxes. Not redeemable for gift cards, cash, credit, or towards previous purchases. Hanna Andersson reserves the right to modify or cancel this offer at any time.</t>
  </si>
  <si>
    <t>CONTINGENCY:
Extra 15% off Order w/ Code REWARD15
7/8</t>
  </si>
  <si>
    <t>Extra 15% off entire order with code REWARD15. Valid through 11:59pm PT on 7/8/2025. Discount taken at checkout with code REWARD15 on qualifying products. Offer cannot be combined with additional coupon offers or codes. Cannot be applied to previous purchases, no price adjustments. Eligible to customers with US shipping and billing address only. Not valid on Final Sale, shipping or taxes. Not redeemable for gift cards, cash, credit, or towards previous purchases. Hanna Andersson reserves the right to modify or cancel this offer at any time.</t>
  </si>
  <si>
    <t>Best. Pajamas. Ever. 
Baby &amp; Toddler Shorties starting at $12
7/9-7/10</t>
  </si>
  <si>
    <t>Best Pajamas ever, baby and toddler sleepers starting at $12. Valid through 11:59pm PT on 7/10/2025.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</si>
  <si>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Best. Pajamas. Ever. 
Shortjohns starting at $15 
7/11-7/12</t>
  </si>
  <si>
    <t>Best pajamas ever, shortjohns starting at $15. Valid through 11:59pm PT on 7/12/2025.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</si>
  <si>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Best. Pajamas. Ever. 
All Bluey 50% off
7/13-7/14</t>
  </si>
  <si>
    <t>Best pajamas ever, all Bluey 50% off. Valid through 11:59pm PT on 7/14/2025.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</si>
  <si>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Summer Sale on Sale
Clearance Up to 70% Off
7/9-7/14</t>
  </si>
  <si>
    <t>Up to 70% off Clearance. Valid through 11:59pm PT on 7/14/2025.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</si>
  <si>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Sun &amp; Fun Event
Up to 60% off Shorts, Tees, and Sets
7/15-7/17</t>
  </si>
  <si>
    <t>Up to 60% off shorts, t-shirts, and sets. Valid through 11:59pm PT on 7/17/2025.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</si>
  <si>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Summer Spin Sale 
Up to 60% off Dresses
7/18-7/21</t>
  </si>
  <si>
    <t>Up to 60% off Dresses. Valid through 11:59pm PT on 7/21/2025.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</si>
  <si>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Summer Sale on Sale
Clearance Up to 70% Off
7/15-7/21</t>
  </si>
  <si>
    <t>Up to 70% off Clearance. Valid through 11:59pm PT on 7/21/2025.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</si>
  <si>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1 Day Only
Swim Starting at $20
7/20</t>
  </si>
  <si>
    <t>Swimwear starting at $20 for one day only. Valid through 11:59pm PT on 7/20/2025.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</si>
  <si>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Sleep Up to 40% Off 
7/22-7/28</t>
  </si>
  <si>
    <t>Pajamas up to 40% off. Valid through 11:59pm PT on 7/28/2025.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</si>
  <si>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Swim up to 50% Off 
7/23-7/25</t>
  </si>
  <si>
    <t>All Swimwear up to 50% off. Valid through 11:59pm PT on 7/25/2025.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</si>
  <si>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Last Chance Extra 20% Off Clearance 
w/ Code GOINGFAST20
7/26-7/27</t>
  </si>
  <si>
    <t>Extra 20% off Clearance with code GOINGFAST20. Valid through 11:59pm PT on 7/27/2025. Discount taken at checkout with code GOINGFAST20 on qualifying products. Offer cannot be combined with additional coupon offers or codes. Cannot be applied to previous purchases, no price adjustments. Eligible to customers with US shipping and billing address only. Not valid on Final Sale, shipping or taxes. Not redeemable for gift cards, cash, credit, or towards previous purchases. Hanna Andersson reserves the right to modify or cancel this offer at any time.</t>
  </si>
  <si>
    <t>Up to 30% off Back-to-School Styles
7/29-8/4</t>
  </si>
  <si>
    <t>Up to 30% off back-to-school styles. Valid through 11:59pm PT on 8/4/2025.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</si>
  <si>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PJS Starting from $20
(redline pricing effective 7/29-8/4)
7/30-7/31</t>
  </si>
  <si>
    <t>Pajamas starting from $20. Valid through 11:59pm PT on 7/31/2025.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</si>
  <si>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Early Access: Extra 20% off New Arrivals 
w/ Code NEW20
8/1</t>
  </si>
  <si>
    <t>Extra 20% off New Arrivals with code NEW20 for Hanna Rewards Members only. Must be logged into Hanna Rewards account to redeem. Valid through 11:59pm PT on 8/1/2025. Discount taken at checkout with code NEW20 on qualifying products. Offer cannot be combined with additional coupon offers or codes. Cannot be applied to previous purchases, no price adjustments. Eligible to customers with US shipping and billing address only. Not valid on Final Sale, shipping or taxes. Not redeemable for gift cards, cash, credit, or towards previous purchases. Hanna Andersson reserves the right to modify or cancel this offer at any time.</t>
  </si>
  <si>
    <t>Extra 20% off New Arrivals 
w/ Code NEW20
8/2-8/4</t>
  </si>
  <si>
    <t>Extra 20% off New Arrivals with code NEW20. Valid through 11:59pm PT on 8/4/2025. Discount taken at checkout with code NEW20 on qualifying products. Offer cannot be combined with additional coupon offers or codes. Cannot be applied to previous purchases, no price adjustments. Eligible to customers with US shipping and billing address only. Not valid on Final Sale, shipping or taxes. Not redeemable for gift cards, cash, credit, or towards previous purchases. Hanna Andersson reserves the right to modify or cancel this offer at any time.</t>
  </si>
  <si>
    <t>Up to 40% Off Back to School Styles
8/5-8/11</t>
  </si>
  <si>
    <t>Up to 40% off back-to-school styles. Valid through 11:59pm PT on 8/11/2025.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</si>
  <si>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Extra 15% Off Order 
w/ Code FUN15
8/9-8/11</t>
  </si>
  <si>
    <t>Extra 15% off entire order with code FUN15. Valid through 11:59pm PT on 8/11/2025. Discount taken at checkout with code FUN15 on qualifying orders. Offer cannot be combined with additional coupon offers or codes. Cannot be applied to previous purchases, no price adjustments. Eligible to customers with US shipping and billing address only. Not valid on Final Sale, shipping or taxes. Not redeemable for gift cards, cash, credit, or towards previous purchases. Hanna Andersson reserves the right to modify or cancel this offer at any time.</t>
  </si>
  <si>
    <t>Extra 20% Off Order 
w/ Code FUN20
8/9-8/11</t>
  </si>
  <si>
    <t>Extra 15% off entire order with code FUN20. Valid through 11:59pm PT on 8/11/2025. Discount taken at checkout with code FUN20 on qualifying orders. Offer cannot be combined with additional coupon offers or codes. Cannot be applied to previous purchases, no price adjustments. Eligible to customers with US shipping and billing address only. Not valid on Final Sale, shipping or taxes. Not redeemable for gift cards, cash, credit, or towards previous purchases. Hanna Andersson reserves the right to modify or cancel this offer at any time.</t>
  </si>
  <si>
    <t>Hannaween Up to 30% Off 
8/12-8/17</t>
  </si>
  <si>
    <t>Up to 30% off Halloween styles. Valid through 11:59pm PT on 8/17/2025.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</si>
  <si>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BTS Dresses Up to 40% Off
8/12-8/16</t>
  </si>
  <si>
    <t>Up to 40% off back to school dresses. Valid through 11:59pm PT on 8/16/2025.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</si>
  <si>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Forever Favorites Up to 40% Off 
8/18-8/20</t>
  </si>
  <si>
    <t>Up to 40% off Forever Favorite back-to-school styles. Valid through 11:59pm PT on 8/20/2025.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</si>
  <si>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Up to 40% Off PJs
8/18-8/21</t>
  </si>
  <si>
    <t>Up to 40% off Pajamas. Valid through 11:59pm PT on 8/20/2025.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</si>
  <si>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Labor Day Event
40% Off Sitewide*
8/21-9/1</t>
  </si>
  <si>
    <t>Labor Day Event 40% off sitewide. Exclusions apply. Valid through 11:59pm PT on 9/1/2025.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</si>
  <si>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Up to 70% Off Clearance
8/25-8/27</t>
  </si>
  <si>
    <t>Up to 70% off Clearance. Valid through 11:59pm PT on 8/27/2025.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</si>
  <si>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 xml:space="preserve">Contingency </t>
  </si>
  <si>
    <t>Extra 20% Off Clearance 
w/ Code DEAL20
8/27</t>
  </si>
  <si>
    <t>Extra 20% off Clearance items with code DEAL20 at checkout. Valid on qualifiying items through 11:59pm PT on 8/27/2025.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</si>
  <si>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t>Extra 20% Off Order
w/ Code FUN20
8/28-8/31</t>
  </si>
  <si>
    <t>Extra 20% off your order with code FUN20 at checkout. Valid on a single purchase through 11:59pm PT on 8/31/2025.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</si>
  <si>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t>Extra 20% Off Order
w/ Code FUN20
9/2</t>
  </si>
  <si>
    <t>Extra 20% off your order with code FUN20 at checkout. Valid on a single purchase through 11:59pm PT on 9/2/2025.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</si>
  <si>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t>Labor Day Event - 1 Day Extension
40% Off Sitewide*
9/2</t>
  </si>
  <si>
    <t>Labor Day Event 40% off sitewide. Exclusions apply. Valid through 11:59pm PT on 9/2/2025.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</si>
  <si>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Sleep Up to 40% Off (Halloween)
9/3-9/8</t>
  </si>
  <si>
    <t>Pajamas up to 40% off. Valid through 11:59pm PT on 9/8/2025.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</si>
  <si>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 xml:space="preserve">
Semi-Annual Baby Sale:
 All Baby up to 50% off
9/3-9/7</t>
  </si>
  <si>
    <t>Semi-Annual Baby Sale: All Baby up to 50% off. Valid through 11:59pm PT on 9/7/2025.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</si>
  <si>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Dress-up Grinch 50% off
9/6-9/8</t>
  </si>
  <si>
    <t>Select Grinch styles 50% off. Valid through 11:59pm PT on 9/8/2025.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</si>
  <si>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Hannaween Up to 40% off
9/9-9/17</t>
  </si>
  <si>
    <t>All Halloween styles up to 40% off. Valid through 11:59pm PT on 9/17/2025.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</si>
  <si>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Dresses &amp; Leggings Up to 40% Off
9/9-9/16</t>
  </si>
  <si>
    <t>All dresses and leggings up to 40% off. Valid through 11:59pm PT on 9/16/2025.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</si>
  <si>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LOYLATY EA: Extra 20% Off Order w/ Code FUN20 
9/11</t>
  </si>
  <si>
    <t>Extra 20% off your order for Members only with code FUN20 at checkout. Valid through 11:59pm PT on 9/11/2025. Must be logged into account to redeem offer. Offer cannot be combined with other promotion codes and offers. Cannot be applied to previous purchase, no price adjustments. Eligible to customers with US shipping and billing address only. Not valid on select items: Final Sale, shipping or taxes. Not redeemable for gift cards, cash, credit, or towards previous purchases. Hanna Andersson reserves the right to modify or cancel this offer at any time.</t>
  </si>
  <si>
    <t>Extra 20% Off Order w/ Code FUN20
9/12-9/14</t>
  </si>
  <si>
    <t>Extra 20% off your order with code FUN20 at checkout. Valid on a single purchase through 11:59pm PT on 9/14/2025.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</si>
  <si>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t>Big Fall Sale Up to 50% Off 
9/18-9/23</t>
  </si>
  <si>
    <t>Up to 50% off everything*. Valid through 11:59pm PT on 9/23/2025.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</si>
  <si>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Extra 20% Off Clearance w/ code DEAL20
9/21-9/23</t>
  </si>
  <si>
    <t>Extra 20% off Clearance items with code DEAL20 at checkout. Valid on qualifying items through 11:59pm PT on 9/23/2025.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</si>
  <si>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t>Sleep Up to 30% Off 
9/24-9/30</t>
  </si>
  <si>
    <t>Up to 30% off pajamas. Valid through 11:59pm PT on 9/30/2025.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</si>
  <si>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Hannaween Up to 50% Off 
9/24-9/29</t>
  </si>
  <si>
    <t>Halloween styles up to 50% off. Valid through 11:59pm PT on 9/29/2025.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</si>
  <si>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Extra 20% off New Arrivals w/ code NEW20*
9/27-9/29</t>
  </si>
  <si>
    <t>Extra 20% off New Arrivals with code NEW20. Valid through 11:59pm PT on 9/29/2025. Discount taken at checkout with code NEW20 on qualifying products. Exclusions apply including American Girl and Dusen Dusen. Offer cannot be combined with additional coupon offers or codes. Cannot be applied to previous purchases, no price adjustments. Eligible to customers with US shipping and billing address only. Not valid on Final Sale, shipping or taxes. Not redeemable for gift cards, cash, credit, or towards previous purchases. Hanna Andersson reserves the right to modify or cancel this offer at any time.</t>
  </si>
  <si>
    <t>Dresses Up to 40% Off
10/1-10/3</t>
  </si>
  <si>
    <t>Dresses up to 40% off. Valid through 11:59pm PT on 10/3/2025.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</si>
  <si>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Halloween from $25
10/1-10/6</t>
  </si>
  <si>
    <t>All Halloween starting from $25. Valid through 11:59pm PT on 10/6/2025.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</si>
  <si>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PJs on Sale Up to 30% Off
10/4-10/6</t>
  </si>
  <si>
    <t>All pajamas on sale up to 30% off. Valid through 11:59pm PT on 10/6/2025.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</si>
  <si>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Friends &amp; Family 40% Off Everything
10/7-10/20</t>
  </si>
  <si>
    <t>40% off everything*. Valid through 11:59pm PT on 10/20/2025. Prices as marked and in cart on qualifying items. Exclusions apply including American Girl. Cannot be applied to previous purchases, no price adjustments. Offer does not apply to shipping or taxes. Not redeemable for gift cards, cash, or credit. Hanna Andersson reserves the right to modify or cancel this offer at any time.</t>
  </si>
  <si>
    <t>1 day extension</t>
  </si>
  <si>
    <t>Friends &amp; Family 40% Off Everything
10/7-10/21</t>
  </si>
  <si>
    <t>40% off everything*. Exclusions apply including American Girl. Valid through 11:59pm PT on 10/21/2025.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</si>
  <si>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Friends &amp; Family 
Extra 20% Off Clearance w/ code DEAL20
10/9-10/10</t>
  </si>
  <si>
    <t>Extra 20% off Clearance items with code DEAL20 at checkout. Valid on qualifying items through 11:59pm PT on 10/10/2025.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</si>
  <si>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t>Friends &amp; Family
All Halloween 60% Off 
10/13</t>
  </si>
  <si>
    <t>All Halloween 60% off. Valid through 11:59pm PT on 10/13/2025.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</si>
  <si>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Friends &amp; Family
All Grinch 50% Off 
10/14</t>
  </si>
  <si>
    <t>All Grinch 50% off. Valid through 11:59pm PT on 10/14/2025.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</si>
  <si>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Friends &amp; Family
All Dear Deer 50% Off 
10/15</t>
  </si>
  <si>
    <t>All Dear Deer 50% off. Valid through 11:59pm PT on 10/15/2025.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</si>
  <si>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Friends &amp; Family
Extra 20% off Order w/ code FUN20
10/16-10/19</t>
  </si>
  <si>
    <t>Extra 20% off your order with code FUN20 at checkout. Valid on a single purchase through 11:59pm PT on 10/19/2025.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</si>
  <si>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t>Contingency 1 Day Extension</t>
  </si>
  <si>
    <t>Friends &amp; Family
Extra 20% off Order w/ code FUN20
10/16-10/20</t>
  </si>
  <si>
    <t>Extra 20% off your order with code FUN20 at checkout. Valid on a single purchase through 11:59pm PT on 10/20/2025.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</si>
  <si>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t>Up to 40% Off Holiday Dress-Up
10/22-10/24</t>
  </si>
  <si>
    <t>Up to 40% off Holiday dress-up. Valid through 11:59pm PT on 10/24/2025.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</si>
  <si>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Holiday Family PJs from $25
10/25-10/30</t>
  </si>
  <si>
    <t>Holiday family pajamas starting from $25. Valid through 11:59pm PT on 10/29/2025.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</si>
  <si>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Extra 25% off New Arrivals w/ code NEW25
10/25-10/26</t>
  </si>
  <si>
    <t>Extra 25% off New Arrivals with code NEW25. Valid through 11:59pm PT on 10/26/2025. Discount taken at checkout with code NEW25 on qualifying products. Offer cannot be combined with additional coupon offers or codes. Cannot be applied to previous purchases, no price adjustments. Eligible to customers with US shipping and billing address only. Not valid on Final Sale, shipping or taxes. Not redeemable for gift cards, cash, credit, or towards previous purchases. Hanna Andersson reserves the right to modify or cancel this offer at any time.</t>
  </si>
  <si>
    <t>40% Off Sitewide*
10/30-11/3</t>
  </si>
  <si>
    <t>40% off sitewide. Exclusions apply. Valid through 11:59pm PT on 11/3/2025.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</si>
  <si>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Kids/Baby/Toddler PJs 50% Off*
11/1-11/2</t>
  </si>
  <si>
    <t>All kids, baby, and toddler pajamas 50% off*. Exclusions apply. Valid through 11:59pm PT on 11/2/2025.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</si>
  <si>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Family Match Sleep Up to 40% Off
11/4-11/12</t>
  </si>
  <si>
    <t>All family match pajamas up to 40% off. Exclusions apply. Valid through 11:59pm PT on 11/12/2025.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</si>
  <si>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Holiday Dress-Up Up to 40% Off
11/4-11/11</t>
  </si>
  <si>
    <t>All Holiday dress- up styles up to 40% off. Exclusions apply. Valid through 11:59pm PT on 11/11/2025.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</si>
  <si>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Extra 20% Off Order w/ Code FUN20
11/8-11/9</t>
  </si>
  <si>
    <t>Extra 20% off your order with code FUN20 at checkout. Valid on a single purchase through 11:59pm PT on 11/9/2025.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</si>
  <si>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t>Early BF: 40% Off Sitewide* 
11/13-11/17</t>
  </si>
  <si>
    <t>Early Black Friday: 40% off Sitewide*. Exclusions apply, including Dusen Dusen &amp; American Girl.  Valid through 11:59pm PT on 11/17/2025. Prices as marked and in cart on qualifying items. Offer valid across most categories. Cannot be applied to previous purchases; no price adjustments. Cannot be applied to previous purchases, no price adjustments. Offer does not apply to shipping or taxes. Not redeemable for gift cards, cash, or credit. Hanna Andersson reserves the right to modify or cancel this offer at any time.</t>
  </si>
  <si>
    <t>All Dresses 50% Off
11/15-11/16</t>
  </si>
  <si>
    <t>All dresses 50% off. Valid through 11:59pm PT on 11/16/2025.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</si>
  <si>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Early BF: 40% Off Everything 
11/18-11/23</t>
  </si>
  <si>
    <t>Early Black Friday: 40% off Everything. Exclusions apply. Valid through 11:59pm PT on 11/23/2025.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</si>
  <si>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Early BF: 50% off all Pajamas
11/18-11/23</t>
  </si>
  <si>
    <t>Early Black Friday: 50% off all pajamas. Valid through 11:59pm PT on 11/23/2025.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</si>
  <si>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Extra 20% off Clearance w/ code DEAL20
11/22-11/23</t>
  </si>
  <si>
    <t>Extra 20% off Clearance items with code DEAL20 at checkout. Valid on qualifiying items through 11:59pm PT on 11/23/2025.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</si>
  <si>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t>Black Friday: 50% Off Everything 
11/24-11/28</t>
  </si>
  <si>
    <t>Black Friday: 50% off Everything. Exclusions apply. Valid through 11:59pm PT on 11/28/2025.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</si>
  <si>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Cyber Event: 60% Off Your Favorite Characters
11/29-11/30</t>
  </si>
  <si>
    <t>Cyber Event: 60% off your favorite characters. Valid through 11:59pm PT on 11/30/2025.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</si>
  <si>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Cyber Event: 50% Off Everything 
11/29-11/30</t>
  </si>
  <si>
    <t>Cyber Event 50% off Everything. Exclusions apply. Valid through 11:59pm PT on 11/30/2025.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</si>
  <si>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Cyber Monday: 50% Off Everything 
12/1</t>
  </si>
  <si>
    <t>Cyber Monday 50% off Everything. Exclusions apply. Valid through 11:59pm PT on 12/1/2025.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</si>
  <si>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Cyber Monday: 50% Off Everything (extension)
12/2</t>
  </si>
  <si>
    <t>Cyber Monday 50% off Everything. Exclusions apply. Valid through 11:59pm PT on 12/2/2025.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</si>
  <si>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Extra 20% off Clearance w/ code CYBER
12/1</t>
  </si>
  <si>
    <t>Extra 20% off Clearance w/ code CYBER (extension)
12/2</t>
  </si>
  <si>
    <t>Extra 20% off Clearance items with code CYBER at checkout. Valid on qualifying items through 11:59pm PT on 12/2/2025.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</si>
  <si>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t>Cyber Monday: Select PJs From $20
12/1</t>
  </si>
  <si>
    <t>Cyber Monday select pajamas starting from $20. Valid through 11:59pm PT on 12/1/2025.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</si>
  <si>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Cyber Monday: Select PJs From $20 Extended
12/2</t>
  </si>
  <si>
    <t>Cyber Monday select pajamas starting from $20. Valid through 11:59pm PT on 12/2/2025.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</si>
  <si>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Holiday Sleep on Sale Starting at $25* (excl New Arrivals)
12/3-12/9</t>
  </si>
  <si>
    <t>All Holiday pajamas on sale starting at $25*. Exclusions apply. Valid through 11:59pm PT on 12/9/2025.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</si>
  <si>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Up to 50% off all Holiday Dress Up* (excl New Arrivals)
12/3-12/8</t>
  </si>
  <si>
    <t>Up to 50% off all Holiday dress up*. Exclusions apply. Valid through 11:59pm PT on 12/7/2025.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</si>
  <si>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Extra 20% Off Order w/ Code FUN20
12/6-12/7</t>
  </si>
  <si>
    <r>
      <rPr>
        <sz val="11"/>
        <color rgb="FF000000"/>
        <rFont val="Calibri"/>
        <family val="2"/>
      </rPr>
      <t>Extra 20% off your order with code FUN20 at checkout. Valid on a single purchase through 11:59pm PT on</t>
    </r>
    <r>
      <rPr>
        <sz val="11"/>
        <color rgb="FFFF0000"/>
        <rFont val="Calibri"/>
        <family val="2"/>
      </rPr>
      <t xml:space="preserve"> </t>
    </r>
    <r>
      <rPr>
        <sz val="11"/>
        <color rgb="FF000000"/>
        <rFont val="Calibri"/>
        <family val="2"/>
      </rPr>
      <t>12/7/2025.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r>
  </si>
  <si>
    <t xml:space="preserve"> Up to 60% Off Grinch
12/6-12/12</t>
  </si>
  <si>
    <t>Up to 60% off Grinch. Valid through 11:59pm PT on 12/12/2025.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</si>
  <si>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60% Off All Holiday Dresses (excluding New Arrivals)
12/8-12/9</t>
  </si>
  <si>
    <t>60% off all Holiday dresses*. Exclusions apply. Valid through 11:59pm PT on 12/9/2025.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</si>
  <si>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Family Match PJs on Sale up to 50% off (ecxcludes New Arrivals)
12/10-12/12</t>
  </si>
  <si>
    <t>Up to 50% off family matching pajamas*. Exclusions apply. Valid through 11:59pm PT on 12/12/2025.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</si>
  <si>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Holiday Dress Up 50% off (excludes New Arrivals)
12/10-12/12</t>
  </si>
  <si>
    <t>Up to 50% off all Holiday dress up*. Exclusions apply. Valid through 11:59pm PT on 12/12/2025.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</si>
  <si>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50% Off All Holiday PJs*
12/13-12/14</t>
  </si>
  <si>
    <t>50% off all Holiday Pajamas*. Exclusions apply. Valid through 11:59pm PT on 12/14/2025.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</si>
  <si>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40% Off Everything*
12/13-12/14</t>
  </si>
  <si>
    <t>40% Off Everything*. Exclusions apply. Valid through 11:59pm PT on 12/14/2025.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</si>
  <si>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Farewell Prints Starting at $19
12/13-12/14</t>
  </si>
  <si>
    <t>Select pajamas starting at $19. Valid through 11:59pm PT on 12/14/2025.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</si>
  <si>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Surprise Extension</t>
  </si>
  <si>
    <t>50% Off All Holiday PJs*
12/15</t>
  </si>
  <si>
    <t>50% off all Holiday Pajamas*. Exclusions apply. Valid through 11:59pm PT on 12/15/2025.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</si>
  <si>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40% Off Everything*
12/15</t>
  </si>
  <si>
    <t>40% Off Everything*. Exclusions apply. Valid through 11:59pm PT on 12/15/2025.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</si>
  <si>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Farewell Prints Starting at $19
12/15-12/16</t>
  </si>
  <si>
    <t>Select pajamas starting at $19. Valid through 11:59pm PT on 12/16/2025.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</si>
  <si>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50% Off Sitewide*
12/16</t>
  </si>
  <si>
    <t>50% Off Sitwide*. Exclusions apply. Valid through 11:59pm PT on 12/16/2025.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</si>
  <si>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Last Minute Holiday Gifts All Up to 50% Off* (excludes New Arrivals)
12/17-12/25</t>
  </si>
  <si>
    <t>50% Off All Holiday Styles*. Exclusions apply. Valid through 11:59pm PT on 12/25/2025.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</si>
  <si>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Hann Sale Up to 60% Off
12/26-12/29</t>
  </si>
  <si>
    <t>Up to 60% off. Valid through 11:59pm PT on 12/29/2025.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</si>
  <si>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Extra 20% off order with code FUN20
12/28-12/29</t>
  </si>
  <si>
    <r>
      <rPr>
        <sz val="11"/>
        <color rgb="FF000000"/>
        <rFont val="Calibri"/>
        <family val="2"/>
      </rPr>
      <t>Extra 20% off your order with code FUN20 at checkout. Exclusions apply. Valid on a single purchase through 11:59pm PT on</t>
    </r>
    <r>
      <rPr>
        <sz val="11"/>
        <color rgb="FFFF0000"/>
        <rFont val="Calibri"/>
        <family val="2"/>
      </rPr>
      <t xml:space="preserve"> </t>
    </r>
    <r>
      <rPr>
        <sz val="11"/>
        <color rgb="FF000000"/>
        <rFont val="Calibri"/>
        <family val="2"/>
      </rPr>
      <t>12/29/2025.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r>
  </si>
  <si>
    <t>Extra 20% off order with code FUN20
1/3-1/4</t>
  </si>
  <si>
    <r>
      <rPr>
        <sz val="11"/>
        <color rgb="FF000000"/>
        <rFont val="Calibri"/>
        <family val="2"/>
      </rPr>
      <t>Extra 20% off your order with code FUN20 at checkout. Exclusions apply. Valid on a single purchase through 11:59pm PT on</t>
    </r>
    <r>
      <rPr>
        <sz val="11"/>
        <color rgb="FFFF0000"/>
        <rFont val="Calibri"/>
        <family val="2"/>
      </rPr>
      <t xml:space="preserve"> </t>
    </r>
    <r>
      <rPr>
        <sz val="11"/>
        <color rgb="FF000000"/>
        <rFont val="Calibri"/>
        <family val="2"/>
      </rPr>
      <t>1/4/2026.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r>
  </si>
  <si>
    <t>Hann Sale Up to 60% Off
12/30-1/4</t>
  </si>
  <si>
    <t>Up to 60% off. Valid through 11:59pm PT on 1/4/2026.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</si>
  <si>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Extra 20% off Clearance with code DEAL20
12/30-1/2</t>
  </si>
  <si>
    <r>
      <rPr>
        <sz val="11"/>
        <color rgb="FF000000"/>
        <rFont val="Calibri"/>
        <family val="2"/>
      </rPr>
      <t>Extra 20% off Clearance items with code DEAL20 at checkout. Valid on qualifying items through 11:59pm PT on</t>
    </r>
    <r>
      <rPr>
        <b/>
        <sz val="11"/>
        <color rgb="FF70AD47"/>
        <rFont val="Calibri"/>
        <family val="2"/>
      </rPr>
      <t xml:space="preserve"> </t>
    </r>
    <r>
      <rPr>
        <sz val="11"/>
        <color rgb="FF000000"/>
        <rFont val="Calibri"/>
        <family val="2"/>
      </rPr>
      <t>1/2/2026.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r>
  </si>
  <si>
    <t>Hann Sale Up to 75% Off
1/5-1/13</t>
  </si>
  <si>
    <t>Up to 75% off. Valid through 11:59pm PT on 1/13/2026.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</si>
  <si>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Extra 20% off New Arrivals with code NEW20
1/6-1/11</t>
  </si>
  <si>
    <t>Extra 20% off New Arrivals with code NEW20. Valid through 11:59pm PT on 1/11/26. Discount taken at checkout with code NEW20 on qualifying products. Offer cannot be combined with additional coupon offers or codes. Cannot be applied to previous purchases, no price adjustments. Eligible to customers with US shipping and billing address only. Not valid on Final Sale, shipping or taxes. Not redeemable for gift cards, cash, credit, or towards previous purchases. Hanna Andersson reserves the right to modify or cancel this offer at any time.</t>
  </si>
  <si>
    <t>Contingency</t>
  </si>
  <si>
    <t>Extra 20% off New Arrivals with code NEW25
1/6-1/11</t>
  </si>
  <si>
    <t>Extra 25% off New Arrivals with code NEW25. Valid through 11:59pm PT on 1/11/26. Discount taken at checkout with code NEW25 on qualifying products. Offer cannot be combined with additional coupon offers or codes. Cannot be applied to previous purchases, no price adjustments. Eligible to customers with US shipping and billing address only. Not valid on Final Sale, shipping or taxes. Not redeemable for gift cards, cash, credit, or towards previous purchases. Hanna Andersson reserves the right to modify or cancel this offer at any time.</t>
  </si>
  <si>
    <t>Up to 30% Off Valentine's Day Styles
1/14-1/19</t>
  </si>
  <si>
    <t>Up to 30% off Valentine's Day styles. Valid through 11:59pm PT on 1/19/2026.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</si>
  <si>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Clearance Up to 75% Off
1/14-1/19</t>
  </si>
  <si>
    <t>Clearance up to 75% off. Valid through 11:59pm PT on 1/19/2026.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</si>
  <si>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Extra 25% off order with code FUN25
1/17-1/19</t>
  </si>
  <si>
    <r>
      <rPr>
        <sz val="11"/>
        <color rgb="FF000000"/>
        <rFont val="Calibri"/>
        <family val="2"/>
      </rPr>
      <t>Extra 25% off your order with code FUN25 at checkout. Valid on a single purchase through 11:59pm PT on</t>
    </r>
    <r>
      <rPr>
        <b/>
        <sz val="11"/>
        <color rgb="FF000000"/>
        <rFont val="Calibri"/>
        <family val="2"/>
      </rPr>
      <t xml:space="preserve"> </t>
    </r>
    <r>
      <rPr>
        <sz val="11"/>
        <color rgb="FF000000"/>
        <rFont val="Calibri"/>
        <family val="2"/>
      </rPr>
      <t>1/19/2026.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r>
  </si>
  <si>
    <t>All VDay Up to 40% Off 
1/20-1/26</t>
  </si>
  <si>
    <t>Up to 40% off all Valentine's Day styles. Valid through 11:59pm PT on 1/26/2026.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</si>
  <si>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Dresses Up to 30% Off 
1/20-1/26</t>
  </si>
  <si>
    <t>All dresses up to 30% off. Valid through 11:59pm PT on 1/26/2026.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</si>
  <si>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Extra 20% off end of season styles w/ code DEAL20
1/24-1/26</t>
  </si>
  <si>
    <r>
      <rPr>
        <sz val="11"/>
        <color rgb="FF000000"/>
        <rFont val="Calibri"/>
        <family val="2"/>
      </rPr>
      <t>Extra 20% off Clearance items with code DEAL20 at checkout. Valid on qualifying items through 11:59pm PT on</t>
    </r>
    <r>
      <rPr>
        <b/>
        <sz val="11"/>
        <color rgb="FF70AD47"/>
        <rFont val="Calibri"/>
        <family val="2"/>
      </rPr>
      <t xml:space="preserve"> </t>
    </r>
    <r>
      <rPr>
        <sz val="11"/>
        <color rgb="FF000000"/>
        <rFont val="Calibri"/>
        <family val="2"/>
      </rPr>
      <t>1/26/2026.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r>
  </si>
  <si>
    <t>Targeted Specific Licensing Properties Collab 30% off (segmented CRM/Paid Social/Affiliate) - Peppa Pig, Bluey, Disney Princess/Frozen (suppress new), Mickey &amp; Minnie Vday
2/2-2/11</t>
  </si>
  <si>
    <t>Select characters 30% off. Valid through 11:59pm PT on 2/11/2026.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</si>
  <si>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Spring Favorites Up to 30% Off
1/27-2/2</t>
  </si>
  <si>
    <t>Spring favorites up to 30% off. Valid through 11:59pm PT on 2/2/2026.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</si>
  <si>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WK 1</t>
  </si>
  <si>
    <t>Up to 30% Off New Spring Arrivals
2/3-2/8</t>
  </si>
  <si>
    <t>Spring New Arrivals up to 30% off. Exclusions apply. Valid through 11:59pm PT on 2/8/2026.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</si>
  <si>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Baby on Sale Up to 30% Off*
2/4-2/11</t>
  </si>
  <si>
    <t>All Baby on sale up to 30% off*. Exclusions apply. Valid through 11:59pm PT on 2/11/2026.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</si>
  <si>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WK 2</t>
  </si>
  <si>
    <t>Sleep Up to 30% Off
2/9-2/11</t>
  </si>
  <si>
    <t>Pajamas up to 30% off. Valid through 11:59pm PT on 2/11/2026.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</si>
  <si>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President's Day Event 30% off Sitewide*
2/12-2/16</t>
  </si>
  <si>
    <t>30% off Sitewide*. Exclusions apply. Valid through 11:59pm PT on 2/16/2026.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</si>
  <si>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WK 3</t>
  </si>
  <si>
    <t>Up to 30% Off Easter Styles
2/17-2/23</t>
  </si>
  <si>
    <t>Up to 30% off Easter styles. Valid through 11:59pm PT on 2/23/2026.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</si>
  <si>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Up to 30% Off Pajamas
2/17-2/22</t>
  </si>
  <si>
    <t>Up to 30% off pajamas. Valid through 11:59pm PT on 2/22/2026.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</si>
  <si>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WK 4</t>
  </si>
  <si>
    <t>All Dresses Up to 30% Off
2/24-3/2</t>
  </si>
  <si>
    <t>All dresses up to 30% off. Valid through 11:59pm PT on 3/2/2026.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</si>
  <si>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Swim Up to 30% Off
2/24-3/1</t>
  </si>
  <si>
    <t>Swimwear up to 30% off. Valid through 11:59pm PT on 3/1/2026.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</si>
  <si>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Extra 20% off Clearance w/ code DEAL20
2/28-3/1</t>
  </si>
  <si>
    <t>Extra 20% off Clearance items with code DEAL20 at checkout. Valid on qualifiying items through 11:59pm PT on 3/1/2026.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</si>
  <si>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t>WK 5</t>
  </si>
  <si>
    <t>Up to 30% off All Easter
3/3-3/9</t>
  </si>
  <si>
    <t>Up to 30% off all Easter styles. Valid through 11:59pm PT on 3/9/2026.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</si>
  <si>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Up to 30% off Spring Styles
3/3-3/9</t>
  </si>
  <si>
    <t>Up to 30% off Spring styles. Valid through 11:59pm PT on 3/9/2026.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</si>
  <si>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Extra 20% off Order w/ code FUN20
3/7-3/9</t>
  </si>
  <si>
    <r>
      <rPr>
        <sz val="11"/>
        <color rgb="FF000000"/>
        <rFont val="Calibri"/>
        <family val="2"/>
      </rPr>
      <t>Extra 20% off your order with code FUN20 at checkout. Valid through 11:59pm PT on</t>
    </r>
    <r>
      <rPr>
        <sz val="11"/>
        <color rgb="FFFF0000"/>
        <rFont val="Calibri"/>
        <family val="2"/>
      </rPr>
      <t xml:space="preserve"> </t>
    </r>
    <r>
      <rPr>
        <sz val="11"/>
        <color rgb="FF000000"/>
        <rFont val="Calibri"/>
        <family val="2"/>
      </rPr>
      <t>3/9/2026.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r>
  </si>
  <si>
    <t>WK 6</t>
  </si>
  <si>
    <t>All Kids &amp; Baby Sleep up to 30% off*
3/10-3/13</t>
  </si>
  <si>
    <t>All kids and baby pajamas up to 30% off*. Exclusions apply. Valid through 11:59pm PT on 3/13/2026.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</si>
  <si>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Swim up to 30% off*
3/10-3/15</t>
  </si>
  <si>
    <t>All swimwear up to 30% off*. Exclusions apply. Valid through 11:59pm PT on 3/15/2026.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</si>
  <si>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Dresses up to 30% off*
3/14-3/17</t>
  </si>
  <si>
    <t>All dresses up to 30% off*. Exclusions apply. Valid through 11:59pm PT on 3/17/2026.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</si>
  <si>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WK 7</t>
  </si>
  <si>
    <t>Spring Sale up to 40% off Everything*
3/18-3/23</t>
  </si>
  <si>
    <t>Up to 40% off everything*. Exclusions apply. Valid through 11:59pm PT on 3/23/2026.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</si>
  <si>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WK 8</t>
  </si>
  <si>
    <t>Up to 50% off all Easter
3/24-3/29</t>
  </si>
  <si>
    <t>All Easter up to 50% off. Valid through 11:59pm PT on 3/29/2026.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</si>
  <si>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Up to 30% off Swim
3/24-3/30</t>
  </si>
  <si>
    <t>Swim up to 30% off. Valid through 11:59pm PT on 3/30/2026.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</si>
  <si>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WK 9</t>
  </si>
  <si>
    <t>Dresses up to 30% off
3/31-4/6</t>
  </si>
  <si>
    <t>Dresses up to 30% off. Valid through 11:59pm PT on 4/6/2026.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</si>
  <si>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Sleep up to 40% off 
3/31-4/6</t>
  </si>
  <si>
    <t>Sleep up to 40% off. Valid through 11:59pm PT on 4/6/2026.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</si>
  <si>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15% off order for hanna rewards members w/ code FUN15
4/4-4/5</t>
  </si>
  <si>
    <t>Extra 15% off your order with code FUN15 at checkout for Hanna Rewards Members. Valid on a single purchase through 11:59pm PT on 4/5/2026. Offer cannot be combined with other promotion codes and offers. Cannot be applied to previous purchase, no price adjustments. Not valid on select items: Final Sale, shipping or taxes. Not redeemable for gift cards, cash, credit, or towards previous purchases. Hanna Andersson reserves the right to modify or cancel this offer at any time.</t>
  </si>
  <si>
    <t>WK 10</t>
  </si>
  <si>
    <t>All Swim 30% Off*
4/7-4/13</t>
  </si>
  <si>
    <t>All swim 30% off*. Exclusions apply. Valid through 11:59pm PT on 4/13/2026.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</si>
  <si>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25% off New Arrivals w/ code NEW25
For Loyalty Only
4/11-4/13</t>
  </si>
  <si>
    <t>Extra 25% off New Arrivals with code NEW25 for Hanna Rewards Members. Exclusions apply. Valid through 11:59pm PT on  4/13/2026. Discount taken at checkout with code NEW25 on qualifying products when logged into Hanna Rewards account. Offer cannot be combined with additional coupon offers or codes. Cannot be applied to previous purchases, no price adjustments. Eligible to customers with US shipping and billing address only. Not valid on Final Sale, shipping or taxes. Not redeemable for gift cards, cash, credit, or towards previous purchases. Hanna Andersson reserves the right to modify or cancel this offer at any time.</t>
  </si>
  <si>
    <t>WK 11</t>
  </si>
  <si>
    <t>New Arrivals up to 30% Off 
4/14-4/20</t>
  </si>
  <si>
    <t>New Arrivals up to 30% off. Valid through 11:59pm PT on 4/20/2026.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</si>
  <si>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Sleep Starting at $25
4/14-4/20</t>
  </si>
  <si>
    <t>Pajamas starting at $25. Valid through 11:59pm PT on 4/20/2026.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</si>
  <si>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Unders 40% off w/ Code UNDER40
4/18-4/19</t>
  </si>
  <si>
    <t>F&amp;F
WK 12 + 13</t>
  </si>
  <si>
    <t>Friends &amp; Family 40% Off Sitewide*
4/21-5/3</t>
  </si>
  <si>
    <t>Friends &amp; Family 40% off sitewide*. Exclusions apply. Valid through 11:59pm PT on 5/3/2026.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</si>
  <si>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Extra 20% off Order w/code FUN20
Loylaty Only
4/27-4/30</t>
  </si>
  <si>
    <t>Extra 20% off order with code FUN20 for Hanna Rewards Members. Valid through 11:59pm PT on 4/30/2026. Discount taken at checkout with code FUN20 on qualifying products when logged into Hanna Rewards account. Offer cannot be combined with additional coupon offers or codes. Cannot be applied to previous purchases, no price adjustments. Eligible to customers with US shipping and billing address only. Not valid on Final Sale, shipping or taxes. Not redeemable for gift cards, cash, credit, or towards previous purchases. Hanna Andersson reserves the right to modify or cancel this offer at any time.</t>
  </si>
  <si>
    <r>
      <rPr>
        <sz val="11"/>
        <color rgb="FF000000"/>
        <rFont val="Calibri"/>
        <family val="2"/>
        <scheme val="minor"/>
      </rPr>
      <t xml:space="preserve">F&amp;F
WK 12 + 13
</t>
    </r>
    <r>
      <rPr>
        <b/>
        <sz val="11"/>
        <color rgb="FF000000"/>
        <rFont val="Calibri"/>
        <family val="2"/>
        <scheme val="minor"/>
      </rPr>
      <t>CONTINGENCY</t>
    </r>
  </si>
  <si>
    <t>Extra 20% off Order w/code FUN20
Everyone
4/28-4/30</t>
  </si>
  <si>
    <t>Extra 20% off your order with code FUN20 at checkout. Valid through 11:59pm PT on 4/30/2026.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</si>
  <si>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t>Extra 20% off Clearance w/code DEAL20
5/2-5/3</t>
  </si>
  <si>
    <t>Extra 20% off Clearance items with code DEAL20 at checkout. Valid on qualifying items through 11:59pm PT on 5/3/2026.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</si>
  <si>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t>Extra 25% off Star Wars w/code GROGU
5/4</t>
  </si>
  <si>
    <t>Extra 25% off Star Wars product with code GROGU. Valid one day only through 5/4/26 at 11:59PM PST. Discount taken with code GROGU at checkout. Cannot be combined with other offers or applied to previous purchases. Excludes Hanna-Me-Downs resale transactions. Not valid on final sale, giftcards, shipping or taxes. To redeem, enter code in the promo code box during checkout. Cannot be combined with other offers. Not redeemable for gift cards, cash, credit, or towards previous purchases. Not valid to international customers. Hanna Andersson reserves the right to modify or cancel this offer at any time.</t>
  </si>
  <si>
    <t>Friends &amp; Family 40% Off Sitewide*
Surprise Extension
5/4</t>
  </si>
  <si>
    <t>Friends &amp; Family 40% off sitewide*. Exclusions apply. Valid through 11:59pm PT on 5/4/2026.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</si>
  <si>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WK 14</t>
  </si>
  <si>
    <t>All Swim up to 40% Off
5/5-5/13</t>
  </si>
  <si>
    <t xml:space="preserve"> All swimwear up to 40% off. Valid through 11:59pm PT on 5/13/2026.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</si>
  <si>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Sleep Starting at $25
5/5-5/8</t>
  </si>
  <si>
    <t>Pajamas starting at $25. Valid through 11:59pm PT on 5/8/2026.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</si>
  <si>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Dresses up to 40% Off
5/9-5/13</t>
  </si>
  <si>
    <t xml:space="preserve"> All dresses up to 40% off. Valid through 11:59pm PT on 5/13/2026.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</si>
  <si>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WK 15 + 16</t>
  </si>
  <si>
    <t>Memorial Day Sale
Up to 50% off
Every. Single. Thing.
5/14-5/25</t>
  </si>
  <si>
    <t>Memorial Day Sale up to 50% off everything. Exclusions apply. Valid through 11:59pm PT on 5/25/2026.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</si>
  <si>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r>
      <rPr>
        <sz val="11"/>
        <color rgb="FF000000"/>
        <rFont val="Calibri"/>
        <family val="2"/>
        <scheme val="minor"/>
      </rPr>
      <t xml:space="preserve">Extra 20% off Order w/ code FUN20
</t>
    </r>
    <r>
      <rPr>
        <b/>
        <sz val="11"/>
        <color rgb="FF000000"/>
        <rFont val="Calibri"/>
        <family val="2"/>
        <scheme val="minor"/>
      </rPr>
      <t xml:space="preserve">Everyone
</t>
    </r>
    <r>
      <rPr>
        <sz val="11"/>
        <color rgb="FF000000"/>
        <rFont val="Calibri"/>
        <family val="2"/>
        <scheme val="minor"/>
      </rPr>
      <t>5/21-</t>
    </r>
    <r>
      <rPr>
        <b/>
        <sz val="11"/>
        <color rgb="FF000000"/>
        <rFont val="Calibri"/>
        <family val="2"/>
        <scheme val="minor"/>
      </rPr>
      <t>5/24</t>
    </r>
  </si>
  <si>
    <t>Extra 20% off your order with code FUN20 at checkout. Valid through 11:59pm PT on 5/24/2026.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</si>
  <si>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r>
      <rPr>
        <sz val="11"/>
        <color rgb="FF000000"/>
        <rFont val="Calibri"/>
        <family val="2"/>
        <scheme val="minor"/>
      </rPr>
      <t xml:space="preserve">Extra 20% off Order w/ code FUN20
</t>
    </r>
    <r>
      <rPr>
        <b/>
        <sz val="11"/>
        <color rgb="FF000000"/>
        <rFont val="Calibri"/>
        <family val="2"/>
        <scheme val="minor"/>
      </rPr>
      <t xml:space="preserve">Everyone
</t>
    </r>
    <r>
      <rPr>
        <sz val="11"/>
        <color rgb="FF000000"/>
        <rFont val="Calibri"/>
        <family val="2"/>
        <scheme val="minor"/>
      </rPr>
      <t>5/21-</t>
    </r>
    <r>
      <rPr>
        <b/>
        <sz val="11"/>
        <color rgb="FF000000"/>
        <rFont val="Calibri"/>
        <family val="2"/>
        <scheme val="minor"/>
      </rPr>
      <t>5/25</t>
    </r>
  </si>
  <si>
    <t>Extra 20% off your order with code FUN20 at checkout. Valid through 11:59pm PT on 5/25/2026.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</si>
  <si>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t>WK 17</t>
  </si>
  <si>
    <t>All Dresses up to 50% Off*
5/26-6/1</t>
  </si>
  <si>
    <t>All dresses up to 50% off. Exclusions apply. Valid through 11:59pm PT on 6/1/2026.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</si>
  <si>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Collab up to 50% Off*
5/26-6/1</t>
  </si>
  <si>
    <t>Collaborations up to 50% off*. Exclusions apply. Valid through 11:59pm PT on 6/1/2026.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</si>
  <si>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WK18</t>
  </si>
  <si>
    <t>20% off New Arrivals w/ code NEW20
For Loyalty Only
6/6-6/8</t>
  </si>
  <si>
    <t>Extra 20% off New Arrivals with code NEW20 for Hanna Rewards Members. Exclusions apply. Valid through 11:59pm PT on  6/8/2026. Discount taken at checkout with code NEW20 on qualifying products when logged into Hanna Rewards account. Offer cannot be combined with additional coupon offers or codes. Cannot be applied to previous purchases, no price adjustments. Eligible to customers with US shipping and billing address only. Not valid on Final Sale, shipping or taxes. Not redeemable for gift cards, cash, credit, or towards previous purchases. Hanna Andersson reserves the right to modify or cancel this offer at any time.</t>
  </si>
  <si>
    <t>WK 18</t>
  </si>
  <si>
    <t>RWB Up to 50% Off
6/2-6/8</t>
  </si>
  <si>
    <t>Red, white, and blue styles up to 50% off. Valid through 11:59pm PT on 6/8/2026.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</si>
  <si>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Sleep Up to 50% Off
6/2-6/8</t>
  </si>
  <si>
    <t>All pajamas up to 50% off. Valid through 11:59pm PT on 6/8/2026.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</si>
  <si>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FOR CRM ONLY</t>
  </si>
  <si>
    <t>PJs From $25
6/2-6/8</t>
  </si>
  <si>
    <t>Pajamas starting from $25. Valid through 11:59pm PT on 6/8/2026.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</si>
  <si>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WK 19 + 20</t>
  </si>
  <si>
    <t>RWB Up to 50% Off
6/9-6/17</t>
  </si>
  <si>
    <t>Red, white, and blue styles up to 50% off. Valid through 11:59pm PT on 6/17/2026.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</si>
  <si>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Swim Up to 50% Off
6/9-6/12</t>
  </si>
  <si>
    <t>All Swim up to 50% off. Valid through 11:59pm PT on 6/12/2026.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</si>
  <si>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Dresses Up to 50% Off
6/13-6/17</t>
  </si>
  <si>
    <t>All dresses up to 50% off. Valid through 11:59pm PT on 6/17/2026.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</si>
  <si>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Extra 20% off Order w/code FUN20
Loylaty Only
6/13-6/15</t>
  </si>
  <si>
    <t>Extra 20% off order with code FUN20 for Hanna Rewards Members. Valid through 11:59pm PT on 6/15/2026. Discount taken at checkout with code FUN20 on qualifying products when logged into Hanna Rewards account. Offer cannot be combined with additional coupon offers or codes. Cannot be applied to previous purchases, no price adjustments. Eligible to customers with US shipping and billing address only. Not valid on Final Sale, shipping or taxes. Not redeemable for gift cards, cash, credit, or towards previous purchases. Hanna Andersson reserves the right to modify or cancel this offer at any time.</t>
  </si>
  <si>
    <t>WK 20-22</t>
  </si>
  <si>
    <t>Hanna Sale
Up to 60% Off
6/18-6/30</t>
  </si>
  <si>
    <t>Hanna Sale up to 50% off everything. Exclusions apply. Valid through 11:59pm PT on 6/30/2026.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</si>
  <si>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Hanna Sale
Extra 20% off Clearance w/ code DEAL20
6/23-6/30</t>
  </si>
  <si>
    <t>Extra 20% off Clearance items with code DEAL20 at checkout. Valid on qualifying items through 11:59pm PT on 6/30/2026.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</si>
  <si>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t>Hanna Sale
All Unders 50% Off
6/27-6/28</t>
  </si>
  <si>
    <t>All underwear up to 50% off. Valid through 11:59pm PT on 6/28/2026.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</si>
  <si>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Hanna Sale
Up to 75% Off
7/1-7/6</t>
  </si>
  <si>
    <t>Hanna Sale up to 75% off everything. Exclusions apply. Valid through 11:59pm PT on 7/6/2026.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</si>
  <si>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Hanna Sale
Up to 75% Off
7/1-7/7</t>
  </si>
  <si>
    <t>Hanna Sale up to 75% off everything. Exclusions apply. Valid through 11:59pm PT on 7/7/2026.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</si>
  <si>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Hanna Sale
Extra 20% off Order w/ code FUN20
7/2-7/5</t>
  </si>
  <si>
    <t>Extra 20% off your order with code FUN20 at checkout. Valid on a single purchase through 11:59pm PT on  7/5/2026.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</si>
  <si>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t>WK 23</t>
  </si>
  <si>
    <t>Christmas in July
Sleep Starting at $20
7/7-7/12</t>
  </si>
  <si>
    <t>Pajamas starting at $20. Valid through 11:59pm PT on 7/12/2026.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</si>
  <si>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The Summer Spree
Up to 75% off Clearance
7/7-7/13</t>
  </si>
  <si>
    <t>Up to 75% off Clearance items. Valid through 11:59pm PT on 7/13/2026.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</si>
  <si>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$1 Pet bandanas w/ code PETS
7/9-7/10</t>
  </si>
  <si>
    <t>3-Day Splash Sale
All Swim 50% off*
7/11-7/13</t>
  </si>
  <si>
    <t>All swimwear 50% off*. Exclusions apply. Valid through 11:59pm PT on 7/13/2026.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</si>
  <si>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WK 24</t>
  </si>
  <si>
    <t>The Summer Spin
Up to 30% Off Dresses
7/14-7/20</t>
  </si>
  <si>
    <t>Up to 30% off dresses. Valid through 11:59pm PT on 7/20/2026.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</si>
  <si>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The Baby Gift Event
Baby Gifts Up to 50% Off
7/14-7/20</t>
  </si>
  <si>
    <t>Up to 50% off Baby Gifts. Valid through 11:59pm PT on 7/20/2026.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</si>
  <si>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Extra 20% off New Arrivals
w/ code NEW20
7/18-7/20</t>
  </si>
  <si>
    <t>Extra 20% off New Arrivals with code NEW20. Valid through 11:59pm PT on 7/20/2026. Discount taken at checkout with code NEW20 on qualifying products. Offer cannot be combined with additional coupon offers or codes. Cannot be applied to previous purchases, no price adjustments. Eligible to customers with US shipping and billing address only. Not valid on Final Sale, shipping or taxes. Not redeemable for gift cards, cash, credit, or towards previous purchases. Hanna Andersson reserves the right to modify or cancel this offer at any time.</t>
  </si>
  <si>
    <t>WK 25</t>
  </si>
  <si>
    <t>BTS First Day Outfits Up to 30% Off
7/21-7/27</t>
  </si>
  <si>
    <t>First day outfits up to 30% off. Valid through 11:59pm PT on 7/27/2026.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</si>
  <si>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Sleep Up to 30% Off 
7/21-7/27</t>
  </si>
  <si>
    <t>Pajamas up to 30% off. Valid through 11:59pm PT on 7/27/2026.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</si>
  <si>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Extra 20% Off Clearance
w/ code DEAL20
7/25-7/26</t>
  </si>
  <si>
    <r>
      <rPr>
        <sz val="11"/>
        <color rgb="FF000000"/>
        <rFont val="Calibri"/>
      </rPr>
      <t>Extra 20% off Clearance items with code DEAL20 at checkout. Valid on qualifiying items through 11:59pm PT on</t>
    </r>
    <r>
      <rPr>
        <sz val="11"/>
        <color rgb="FF70AD47"/>
        <rFont val="Calibri"/>
      </rPr>
      <t xml:space="preserve"> </t>
    </r>
    <r>
      <rPr>
        <sz val="11"/>
        <color rgb="FF000000"/>
        <rFont val="Calibri"/>
      </rPr>
      <t>7/26/2026.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r>
  </si>
  <si>
    <t xml:space="preserve">
CONTINGENCY
Suprise 1 Day Extension</t>
  </si>
  <si>
    <t>Extra 20% Off Clearance
w/ code DEAL20
7/25-7/27</t>
  </si>
  <si>
    <r>
      <rPr>
        <sz val="11"/>
        <color rgb="FF000000"/>
        <rFont val="Calibri"/>
      </rPr>
      <t>Extra 20% off Clearance items with code DEAL20 at checkout. Valid on qualifiying items through 11:59pm PT on</t>
    </r>
    <r>
      <rPr>
        <sz val="11"/>
        <color rgb="FF70AD47"/>
        <rFont val="Calibri"/>
      </rPr>
      <t xml:space="preserve"> </t>
    </r>
    <r>
      <rPr>
        <sz val="11"/>
        <color rgb="FF000000"/>
        <rFont val="Calibri"/>
      </rPr>
      <t>7/27/2026.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r>
  </si>
  <si>
    <t>WK 26</t>
  </si>
  <si>
    <t>Dresses Up to 30% Off 
7/28-8/3</t>
  </si>
  <si>
    <t>Dresses up to 30% off. Valid through 11:59pm PT on 8/3/2026.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</si>
  <si>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Up to 40% Off Prints
7/28-8/3</t>
  </si>
  <si>
    <t>Up to 40% off prints. Valid through 11:59pm PT on 8/3/2026.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</si>
  <si>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Christmas in July
Holiday Styles at $15
7/28-7/31</t>
  </si>
  <si>
    <t>Holiday pajamas starting at $15. Valid through 11:59pm PT on 7/31/2026.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</si>
  <si>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Unders 50% Off 
w/ code UNDER50
8/1-8/2</t>
  </si>
  <si>
    <t>All underwear 50% off with code UNDER50 at checkout. Valid on qualifying items through 11:59pm PT on 8/2/2026.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</si>
  <si>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t>CONTINGENCY - CALLED</t>
  </si>
  <si>
    <t>WK 27</t>
  </si>
  <si>
    <t>New Arrivals Up to 40% Off
8/4-8/10</t>
  </si>
  <si>
    <t>New Arrivals up to 40% off. Valid through 11:59pm PT on 8/10/2026.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</si>
  <si>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Hannaween PJs Up to 30% Off
8/4-8/10</t>
  </si>
  <si>
    <t>Halloween pajamas up to 30% off. Valid through 11:59pm PT on 8/10/2026.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</si>
  <si>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20% Off Order
w/ code FUN20
8/8-8/10</t>
  </si>
  <si>
    <t>Extra 20% off your order with code FUN20 at checkout. Valid on a single purchase through 11:59pm PT on 8/10/2026.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</si>
  <si>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t>WK 28</t>
  </si>
  <si>
    <t>Dresses Up to 40% Off
8/11-8/14</t>
  </si>
  <si>
    <t>Up to 40% off dresses. Valid through 11:59pm PT on 8/14/2026.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</si>
  <si>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Collab Up to 40% Off*
8/11-8/14</t>
  </si>
  <si>
    <t>Collaborations up to 40% off*. Exclusions apply. Valid through 11:59pm PT on 8/14/2026.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</si>
  <si>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WK 29</t>
  </si>
  <si>
    <t>Hannaween up to 40% Off
8/15-8/21</t>
  </si>
  <si>
    <t>Halloween up to 40% off. Valid through 11:59pm PT on 8/21/2026.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</si>
  <si>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Sleep up to 40% Off
8/15-8/21</t>
  </si>
  <si>
    <t>Pajamas up to 40% off. Valid through 11:59pm PT on 8/21/2026.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</si>
  <si>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Dresses 50% Off*
8/15-8/16</t>
  </si>
  <si>
    <t>All dresses up to 50% off. Exclusions apply. Valid through 11:59pm PT on 8/16/2026.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</si>
  <si>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WK 30</t>
  </si>
  <si>
    <t>Sleep From $25
8/22-8/25</t>
  </si>
  <si>
    <t>Pajamas from $25. Valid through 11:59pm PT on 8/25/2026.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</si>
  <si>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Dresses up to 40% off
8/22-8/25</t>
  </si>
  <si>
    <t>Dresses up to 40% off. Valid through 11:59pm PT on 8/25/2026.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</si>
  <si>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WK 30 + 31</t>
  </si>
  <si>
    <t>Labor Day Event
40% Off Sitewide*
8/26-9/7</t>
  </si>
  <si>
    <t>Labor Day Event 40% off sitewide*. Exclusions apply. Valid through 11:59pm PT on 9/7/2026.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</si>
  <si>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SURPRISE EXTENSION</t>
  </si>
  <si>
    <t>Labor Day Event
40% Off Sitewide*
8/26-9/8</t>
  </si>
  <si>
    <t>Labor Day Event 40% off sitewide*. Exclusions apply. Valid through 11:59pm PT on 9/8/2026.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</si>
  <si>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FA2025</t>
  </si>
  <si>
    <t>Contingencies</t>
  </si>
  <si>
    <t>Code</t>
  </si>
  <si>
    <t xml:space="preserve">Order or Product Level </t>
  </si>
  <si>
    <t>Stackable w/ Other Codes</t>
  </si>
  <si>
    <t xml:space="preserve">Code </t>
  </si>
  <si>
    <t xml:space="preserve">Stackability w/ Hanna Rewards  </t>
  </si>
  <si>
    <t xml:space="preserve">Customers Eligible </t>
  </si>
  <si>
    <t>Exclusions</t>
  </si>
  <si>
    <t>Disclaimer</t>
  </si>
  <si>
    <t>Coupon ID</t>
  </si>
  <si>
    <t>Promotion ID</t>
  </si>
  <si>
    <t>Campaign Coupon ID</t>
  </si>
  <si>
    <t xml:space="preserve">15% off New Arrivals </t>
  </si>
  <si>
    <t xml:space="preserve">Vanity </t>
  </si>
  <si>
    <t xml:space="preserve">Unlimited </t>
  </si>
  <si>
    <t xml:space="preserve">US Customers Only </t>
  </si>
  <si>
    <t>Applicable to New Arrivals Only</t>
  </si>
  <si>
    <t>Extra 15% off New Arrivals with code NEW15. Valid through 11:59pm PT on 2/22/2026. Discount taken at checkout with code NEW15 on qualifying products. Offer cannot be combined with additional coupon offers or codes. Cannot be applied to previous purchases, no price adjustments. Eligible to customers with US shipping and billing address only. Not valid on Final Sale, shipping or taxes. Not redeemable for gift cards, cash, credit, or towards previous purchases. Hanna Andersson reserves the right to modify or cancel this offer at any time.</t>
  </si>
  <si>
    <t>SP2026-PS-SITE-CONTINGENCY-NEW15</t>
  </si>
  <si>
    <t xml:space="preserve">20% off New Arrivals </t>
  </si>
  <si>
    <r>
      <rPr>
        <sz val="11"/>
        <color rgb="FF000000"/>
        <rFont val="Calibri"/>
        <family val="2"/>
      </rPr>
      <t xml:space="preserve">Extra 20% off New Arrivals with code NEW20. Valid through 11:59pm PT on </t>
    </r>
    <r>
      <rPr>
        <b/>
        <sz val="11"/>
        <color rgb="FF000000"/>
        <rFont val="Calibri"/>
        <family val="2"/>
      </rPr>
      <t>XX/XX/20XX</t>
    </r>
    <r>
      <rPr>
        <sz val="11"/>
        <color rgb="FF000000"/>
        <rFont val="Calibri"/>
        <family val="2"/>
      </rPr>
      <t>. Discount taken at checkout with code NEW20 on qualifying products. Offer cannot be combined with additional coupon offers or codes. Cannot be applied to previous purchases, no price adjustments. Eligible to customers with US shipping and billing address only. Not valid on Final Sale, shipping or taxes. Not redeemable for gift cards, cash, credit, or towards previous purchases. Hanna Andersson reserves the right to modify or cancel this offer at any time.</t>
    </r>
  </si>
  <si>
    <t>FA2025-PS-SITE-CONTINGENCY-NEW20</t>
  </si>
  <si>
    <t xml:space="preserve">25% off New Arrivals </t>
  </si>
  <si>
    <t>NEW25</t>
  </si>
  <si>
    <r>
      <rPr>
        <sz val="11"/>
        <color rgb="FF000000"/>
        <rFont val="Calibri"/>
        <family val="2"/>
      </rPr>
      <t>Extra 25% off New Arrivals with code NEW25. Valid through 11:59pm PT on</t>
    </r>
    <r>
      <rPr>
        <b/>
        <sz val="11"/>
        <color rgb="FF000000"/>
        <rFont val="Calibri"/>
        <family val="2"/>
      </rPr>
      <t xml:space="preserve">  XX/XX/20XX</t>
    </r>
    <r>
      <rPr>
        <sz val="11"/>
        <color rgb="FF000000"/>
        <rFont val="Calibri"/>
        <family val="2"/>
      </rPr>
      <t>. Discount taken at checkout with code NEW25 on qualifying products. Offer cannot be combined with additional coupon offers or codes. Cannot be applied to previous purchases, no price adjustments. Eligible to customers with US shipping and billing address only. Not valid on Final Sale, shipping or taxes. Not redeemable for gift cards, cash, credit, or towards previous purchases. Hanna Andersson reserves the right to modify or cancel this offer at any time.</t>
    </r>
  </si>
  <si>
    <t>HOL2025-TC-SITE-CONTINGENCY-NEW25</t>
  </si>
  <si>
    <t>15% off order</t>
  </si>
  <si>
    <t>FUN15</t>
  </si>
  <si>
    <r>
      <rPr>
        <sz val="11"/>
        <color rgb="FF000000"/>
        <rFont val="Calibri"/>
        <family val="2"/>
      </rPr>
      <t xml:space="preserve">Extra 15% off your order with code FUN15 at checkout. Valid on a single purchase through 11:59pm PT on </t>
    </r>
    <r>
      <rPr>
        <b/>
        <sz val="11"/>
        <color rgb="FF000000"/>
        <rFont val="Calibri"/>
        <family val="2"/>
      </rPr>
      <t>X/X/202X</t>
    </r>
    <r>
      <rPr>
        <sz val="11"/>
        <color rgb="FF000000"/>
        <rFont val="Calibri"/>
        <family val="2"/>
      </rPr>
      <t>.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r>
  </si>
  <si>
    <t>FA2025-PS-SITE-CONTINGENCY-FUN15</t>
  </si>
  <si>
    <t>20% off order</t>
  </si>
  <si>
    <r>
      <rPr>
        <sz val="11"/>
        <color rgb="FF000000"/>
        <rFont val="Calibri"/>
        <family val="2"/>
      </rPr>
      <t>Extra 20% off your order with code FUN20 at checkout. Valid on a single purchase through 11:59pm PT on</t>
    </r>
    <r>
      <rPr>
        <sz val="11"/>
        <color rgb="FFFF0000"/>
        <rFont val="Calibri"/>
        <family val="2"/>
      </rPr>
      <t xml:space="preserve"> </t>
    </r>
    <r>
      <rPr>
        <b/>
        <sz val="11"/>
        <color rgb="FF000000"/>
        <rFont val="Calibri"/>
        <family val="2"/>
      </rPr>
      <t xml:space="preserve"> XX/XX/20XX</t>
    </r>
    <r>
      <rPr>
        <sz val="11"/>
        <color rgb="FF000000"/>
        <rFont val="Calibri"/>
        <family val="2"/>
      </rPr>
      <t>.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r>
  </si>
  <si>
    <t>FA2025-PS-SITE-CONTINGENCY-FUN20</t>
  </si>
  <si>
    <t>25% off order</t>
  </si>
  <si>
    <t>FUN25</t>
  </si>
  <si>
    <r>
      <rPr>
        <sz val="11"/>
        <color rgb="FF000000"/>
        <rFont val="Calibri"/>
        <family val="2"/>
      </rPr>
      <t>Extra 25% off your order with code FUN25 at checkout. Valid on a single purchase through 11:59pm PT on</t>
    </r>
    <r>
      <rPr>
        <b/>
        <sz val="11"/>
        <color rgb="FF000000"/>
        <rFont val="Calibri"/>
        <family val="2"/>
      </rPr>
      <t xml:space="preserve">  XX/XX/20XX</t>
    </r>
    <r>
      <rPr>
        <sz val="11"/>
        <color rgb="FF000000"/>
        <rFont val="Calibri"/>
        <family val="2"/>
      </rPr>
      <t>.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r>
  </si>
  <si>
    <t>HOL2025-TC-SITE-CONTINGENCY-FUN25</t>
  </si>
  <si>
    <t xml:space="preserve">15% off Clearance </t>
  </si>
  <si>
    <t>DEAL15</t>
  </si>
  <si>
    <t>Applicable to Clearance Only</t>
  </si>
  <si>
    <r>
      <rPr>
        <sz val="11"/>
        <color rgb="FF000000"/>
        <rFont val="Calibri"/>
        <family val="2"/>
      </rPr>
      <t>Extra 15% off Clearance items with code DEAL15 at checkout. Valid on qualifiying items through 11:59pm PT on</t>
    </r>
    <r>
      <rPr>
        <b/>
        <sz val="11"/>
        <color rgb="FF70AD47"/>
        <rFont val="Calibri"/>
        <family val="2"/>
      </rPr>
      <t xml:space="preserve"> </t>
    </r>
    <r>
      <rPr>
        <b/>
        <sz val="11"/>
        <color rgb="FF000000"/>
        <rFont val="Calibri"/>
        <family val="2"/>
      </rPr>
      <t>XX/XX/20XX</t>
    </r>
    <r>
      <rPr>
        <sz val="11"/>
        <color rgb="FF000000"/>
        <rFont val="Calibri"/>
        <family val="2"/>
      </rPr>
      <t>.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r>
  </si>
  <si>
    <t xml:space="preserve">20% off Clearance </t>
  </si>
  <si>
    <r>
      <rPr>
        <sz val="11"/>
        <color rgb="FF000000"/>
        <rFont val="Calibri"/>
        <family val="2"/>
      </rPr>
      <t>Extra 20% off Clearance items with code DEAL20 at checkout. Valid on qualifiying items through 11:59pm PT on</t>
    </r>
    <r>
      <rPr>
        <b/>
        <sz val="11"/>
        <color rgb="FF70AD47"/>
        <rFont val="Calibri"/>
        <family val="2"/>
      </rPr>
      <t xml:space="preserve"> </t>
    </r>
    <r>
      <rPr>
        <b/>
        <sz val="11"/>
        <color rgb="FF000000"/>
        <rFont val="Calibri"/>
        <family val="2"/>
      </rPr>
      <t>XX/XX/20XX</t>
    </r>
    <r>
      <rPr>
        <sz val="11"/>
        <color rgb="FF000000"/>
        <rFont val="Calibri"/>
        <family val="2"/>
      </rPr>
      <t>.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r>
  </si>
  <si>
    <t>FA2024-TC-AFFILIATE-DEAL20
(had to reuse)</t>
  </si>
  <si>
    <t>FA2025-PS-SITE-CONTINGENCY-DEAL20</t>
  </si>
  <si>
    <t xml:space="preserve">25% off Clearance </t>
  </si>
  <si>
    <t>DEAL25</t>
  </si>
  <si>
    <r>
      <rPr>
        <sz val="11"/>
        <color rgb="FF000000"/>
        <rFont val="Calibri"/>
        <family val="2"/>
      </rPr>
      <t>Extra 25% off Clearance items with code DEAL25 at checkout. Valid on qualifiying items through 11:59pm PT on</t>
    </r>
    <r>
      <rPr>
        <b/>
        <sz val="11"/>
        <color rgb="FF70AD47"/>
        <rFont val="Calibri"/>
        <family val="2"/>
      </rPr>
      <t xml:space="preserve"> </t>
    </r>
    <r>
      <rPr>
        <b/>
        <sz val="11"/>
        <color rgb="FF000000"/>
        <rFont val="Calibri"/>
        <family val="2"/>
      </rPr>
      <t>XX/XX/20XX</t>
    </r>
    <r>
      <rPr>
        <sz val="11"/>
        <color rgb="FF000000"/>
        <rFont val="Calibri"/>
        <family val="2"/>
      </rPr>
      <t>.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r>
  </si>
  <si>
    <t>HOL2025-SU2025</t>
  </si>
  <si>
    <t>15FORFUN</t>
  </si>
  <si>
    <t>Final Sale and Clearance</t>
  </si>
  <si>
    <r>
      <rPr>
        <sz val="11"/>
        <color rgb="FF000000"/>
        <rFont val="Calibri"/>
        <family val="2"/>
      </rPr>
      <t>Extra 15% off your order with code 15FORFUN at checkout. Valid on a single purchase through 11:59pm PT on</t>
    </r>
    <r>
      <rPr>
        <sz val="11"/>
        <color rgb="FFFF0000"/>
        <rFont val="Calibri"/>
        <family val="2"/>
      </rPr>
      <t xml:space="preserve"> X/X/202X</t>
    </r>
    <r>
      <rPr>
        <sz val="11"/>
        <color rgb="FF000000"/>
        <rFont val="Calibri"/>
        <family val="2"/>
      </rPr>
      <t>. Offer cannot be combined with other promotion codes and offers. Cannot be applied to previous purchase, no price adjustments. Not valid on select items: Clearance, Final Sale, shipping or taxes. Not redeemable for gift cards, cash, credit, or towards previous purchases. Hanna Andersson reserves the right to modify or cancel this offer at any time.</t>
    </r>
  </si>
  <si>
    <t>HOL24-PS-SITE-CONTINGENCY-15FORFUN</t>
  </si>
  <si>
    <t>HOL24-PS-SITE-CONTINGENCY-FORFUN</t>
  </si>
  <si>
    <t>20FORFUN</t>
  </si>
  <si>
    <r>
      <rPr>
        <sz val="11"/>
        <color rgb="FF000000"/>
        <rFont val="Calibri"/>
        <family val="2"/>
      </rPr>
      <t xml:space="preserve">Extra 20% off your order with code 20FORFUN at checkout. Valid on a single purchase through 11:59pm PT on </t>
    </r>
    <r>
      <rPr>
        <b/>
        <sz val="11"/>
        <color rgb="FF70AD47"/>
        <rFont val="Calibri"/>
        <family val="2"/>
      </rPr>
      <t>6/16/2025</t>
    </r>
    <r>
      <rPr>
        <sz val="11"/>
        <color rgb="FF000000"/>
        <rFont val="Calibri"/>
        <family val="2"/>
      </rPr>
      <t>. Offer cannot be combined with other promotion codes and offers. Cannot be applied to previous purchases, no price adjustments. Eligible to customers with US shipping and billing address only. Not valid on select items: Final Sale, shipping or taxes. Not redeemable for gift cards, cash, credit, or towards previous purchases. Hanna Andersson reserves the right to modify or cancel this offer at any time.</t>
    </r>
  </si>
  <si>
    <t>HOL24-PS-SITE-CONTINGENCY-20FORFUN</t>
  </si>
  <si>
    <t>25FORFUN</t>
  </si>
  <si>
    <r>
      <rPr>
        <sz val="11"/>
        <color rgb="FF000000"/>
        <rFont val="Calibri"/>
        <family val="2"/>
      </rPr>
      <t xml:space="preserve">Extra 25% off your order with code 25FORFUN at checkout. Valid on a single purchase through 11:59pm PT on </t>
    </r>
    <r>
      <rPr>
        <b/>
        <sz val="11"/>
        <color rgb="FFFF0000"/>
        <rFont val="Calibri"/>
        <family val="2"/>
      </rPr>
      <t xml:space="preserve"> X/X/202X</t>
    </r>
    <r>
      <rPr>
        <sz val="11"/>
        <color rgb="FF000000"/>
        <rFont val="Calibri"/>
        <family val="2"/>
      </rPr>
      <t>. Offer cannot be combined with other promotion codes and offers. Cannot be applied to previous purchase, no price adjustments. Not valid on select items: Clearance, Final Sale, shipping or taxes. Not redeemable for gift cards, cash, credit, or towards previous purchases. Hanna Andersson reserves the right to modify or cancel this offer at any time.</t>
    </r>
  </si>
  <si>
    <t>HOL24-PS-SITE-CONTINGENCY-25FORFUN</t>
  </si>
  <si>
    <t>15% off clearance</t>
  </si>
  <si>
    <t>GOINGFAST15</t>
  </si>
  <si>
    <r>
      <rPr>
        <sz val="11"/>
        <color rgb="FF000000"/>
        <rFont val="Calibri"/>
        <family val="2"/>
        <scheme val="minor"/>
      </rPr>
      <t xml:space="preserve">Extra 15% off Clearance with code GOINGFAST15. Valid through 11:59pm PT on </t>
    </r>
    <r>
      <rPr>
        <b/>
        <sz val="11"/>
        <color rgb="FFFF0000"/>
        <rFont val="Calibri"/>
        <family val="2"/>
        <scheme val="minor"/>
      </rPr>
      <t>X/XX/202X</t>
    </r>
    <r>
      <rPr>
        <sz val="11"/>
        <color rgb="FF000000"/>
        <rFont val="Calibri"/>
        <family val="2"/>
        <scheme val="minor"/>
      </rPr>
      <t>. Discount taken at checkout with code GOINGFAST15 on qualifying products. Offer cannot be combined with additional coupon offers or codes. Cannot be applied to previous purchases, no price adjustments. Not valid on Final Sale, shipping or taxes. Not redeemable for gift cards, cash, credit, or towards previous purchases. Hanna Andersson reserves the right to modify or cancel this offer at any time.</t>
    </r>
  </si>
  <si>
    <t>HOL2024-PS-SITE-CONTINGENCY-GOINGFAST15</t>
  </si>
  <si>
    <t>HOL2024-PS-SITE-CONTINGENCY-GOINGFAST</t>
  </si>
  <si>
    <t>20% off clearance</t>
  </si>
  <si>
    <t>GOINGFAST20</t>
  </si>
  <si>
    <r>
      <rPr>
        <sz val="11"/>
        <color rgb="FF000000"/>
        <rFont val="Calibri"/>
        <family val="2"/>
        <scheme val="minor"/>
      </rPr>
      <t xml:space="preserve">Extra 20% off Clearance with code GOINGFAST20. Valid through 11:59pm PT on </t>
    </r>
    <r>
      <rPr>
        <sz val="11"/>
        <color rgb="FF00B050"/>
        <rFont val="Calibri"/>
        <family val="2"/>
        <scheme val="minor"/>
      </rPr>
      <t>7/27/2025</t>
    </r>
    <r>
      <rPr>
        <sz val="11"/>
        <color rgb="FF000000"/>
        <rFont val="Calibri"/>
        <family val="2"/>
        <scheme val="minor"/>
      </rPr>
      <t>. Discount taken at checkout with code GOINGFAST20 on qualifying products. Offer cannot be combined with additional coupon offers or codes. Cannot be applied to previous purchases, no price adjustments. Eligible to customers with US shipping and billing address only. Not valid on Final Sale, shipping or taxes. Not redeemable for gift cards, cash, credit, or towards previous purchases. Hanna Andersson reserves the right to modify or cancel this offer at any time.</t>
    </r>
  </si>
  <si>
    <t>HOL2024-PS-SITE-CONTINGENCY-GOINGFAST20</t>
  </si>
  <si>
    <t xml:space="preserve">25% off clearance </t>
  </si>
  <si>
    <t>GOINGFAST25</t>
  </si>
  <si>
    <r>
      <rPr>
        <sz val="11"/>
        <color rgb="FF000000"/>
        <rFont val="Calibri"/>
        <family val="2"/>
        <scheme val="minor"/>
      </rPr>
      <t xml:space="preserve">Extra 25% off Clearance with code GOINGFAST25. Valid through 11:59pm PT on </t>
    </r>
    <r>
      <rPr>
        <b/>
        <sz val="11"/>
        <color rgb="FFFF0000"/>
        <rFont val="Calibri"/>
        <family val="2"/>
        <scheme val="minor"/>
      </rPr>
      <t>X/XX/202X</t>
    </r>
    <r>
      <rPr>
        <sz val="11"/>
        <color rgb="FF000000"/>
        <rFont val="Calibri"/>
        <family val="2"/>
        <scheme val="minor"/>
      </rPr>
      <t>. Discount taken at checkout with code GOINGFAST25 on qualifying products. Offer cannot be combined with additional coupon offers or codes. Cannot be applied to previous purchases, no price adjustments. Not valid on Final Sale, shipping or taxes. Not redeemable for gift cards, cash, credit, or towards previous purchases. Hanna Andersson reserves the right to modify or cancel this offer at any time.</t>
    </r>
  </si>
  <si>
    <t>HOL2024-PS-SITE-CONTINGENCY-GOINGFAST25</t>
  </si>
  <si>
    <t>FRESHFINDS15</t>
  </si>
  <si>
    <r>
      <rPr>
        <sz val="11"/>
        <color rgb="FF000000"/>
        <rFont val="Calibri"/>
        <family val="2"/>
        <scheme val="minor"/>
      </rPr>
      <t xml:space="preserve">Extra 15% off New Arrivals with code FRESHFINDS15. Valid through 11:59pm PT on </t>
    </r>
    <r>
      <rPr>
        <b/>
        <sz val="11"/>
        <color rgb="FFFF0000"/>
        <rFont val="Calibri"/>
        <family val="2"/>
        <scheme val="minor"/>
      </rPr>
      <t>X/XX/202X</t>
    </r>
    <r>
      <rPr>
        <sz val="11"/>
        <color rgb="FF000000"/>
        <rFont val="Calibri"/>
        <family val="2"/>
        <scheme val="minor"/>
      </rPr>
      <t>. Discount taken at checkout with code FRESHFINDS15on qualifying products. Offer cannot be combined with additional coupon offers or codes. Cannot be applied to previous purchases, no price adjustments. Not valid on Final Sale, shipping or taxes. Not redeemable for gift cards, cash, credit, or towards previous purchases. Hanna Andersson reserves the right to modify or cancel this offer at any time.</t>
    </r>
  </si>
  <si>
    <t>FRESHFINDS20</t>
  </si>
  <si>
    <r>
      <rPr>
        <sz val="11"/>
        <color rgb="FF000000"/>
        <rFont val="Calibri"/>
        <family val="2"/>
        <scheme val="minor"/>
      </rPr>
      <t xml:space="preserve">Extra 20% off New Arrivals with code FRESHFINDS20. Valid through 11:59pm PT on </t>
    </r>
    <r>
      <rPr>
        <sz val="11"/>
        <color rgb="FF70AD47"/>
        <rFont val="Calibri"/>
        <family val="2"/>
        <scheme val="minor"/>
      </rPr>
      <t>6/1/2025</t>
    </r>
    <r>
      <rPr>
        <sz val="11"/>
        <color rgb="FF000000"/>
        <rFont val="Calibri"/>
        <family val="2"/>
        <scheme val="minor"/>
      </rPr>
      <t>. Discount taken at checkout with code FRESHFINDS20 on qualifying products. Offer cannot be combined with additional coupon offers or codes. Cannot be applied to previous purchases, no price adjustments. Not valid on Final Sale, shipping or taxes. Only valid to those with a US shipping and billing address. Not redeemable for gift cards, cash, credit, or towards previous purchases. Hanna Andersson reserves the right to modify or cancel this offer at any time.</t>
    </r>
  </si>
  <si>
    <t>SU2025-PS-SITE-CONTINGENCY-FRESHFINDS20</t>
  </si>
  <si>
    <t>FRESHFINDS25</t>
  </si>
  <si>
    <r>
      <rPr>
        <sz val="11"/>
        <color rgb="FF000000"/>
        <rFont val="Calibri"/>
        <family val="2"/>
        <scheme val="minor"/>
      </rPr>
      <t xml:space="preserve">Extra 25% off New Arrivals with code FRESHFINDS25. Valid through 11:59pm PT on </t>
    </r>
    <r>
      <rPr>
        <b/>
        <sz val="11"/>
        <color rgb="FFFF0000"/>
        <rFont val="Calibri"/>
        <family val="2"/>
        <scheme val="minor"/>
      </rPr>
      <t>X/XX/202X</t>
    </r>
    <r>
      <rPr>
        <sz val="11"/>
        <color rgb="FF000000"/>
        <rFont val="Calibri"/>
        <family val="2"/>
        <scheme val="minor"/>
      </rPr>
      <t>. Discount taken at checkout with code FRESHFINDS25 on qualifying products. Offer cannot be combined with additional coupon offers or codes. Cannot be applied to previous purchases, no price adjustments. Not valid on Final Sale, shipping or taxes. Not redeemable for gift cards, cash, credit, or towards previous purchases. Hanna Andersson reserves the right to modify or cancel this offer at any time.</t>
    </r>
  </si>
  <si>
    <t>WELCOME + ABANDON CART CODES</t>
  </si>
  <si>
    <t>Start Date</t>
  </si>
  <si>
    <t xml:space="preserve">End Date </t>
  </si>
  <si>
    <t>Offer</t>
  </si>
  <si>
    <t>Campaign ID</t>
  </si>
  <si>
    <t xml:space="preserve">Total Made </t>
  </si>
  <si>
    <t>Redemptions (as of 10/31/25)</t>
  </si>
  <si>
    <t>Issued as of 11/2</t>
  </si>
  <si>
    <t>Outstanding</t>
  </si>
  <si>
    <t>Redemption Rate</t>
  </si>
  <si>
    <t xml:space="preserve">Emarsys-Sent Welcome Codes </t>
  </si>
  <si>
    <t xml:space="preserve">Wunderkind-generated Welcome Emails (Old) </t>
  </si>
  <si>
    <t>HO23-email-welcome-offer</t>
  </si>
  <si>
    <t>Wunderkind-generated Welcome EMails (New)</t>
  </si>
  <si>
    <t>FA23-email-wknd-welcome</t>
  </si>
  <si>
    <t>HO22-email-abandoned-cart</t>
  </si>
  <si>
    <t xml:space="preserve">	HO22-email-abandoned-cart</t>
  </si>
  <si>
    <t xml:space="preserve">Welcome Codes (Wunderkind) </t>
  </si>
  <si>
    <t>SU2024-WELCOME20</t>
  </si>
  <si>
    <t>SU2024-TC-EMAIL-WELCOME20-ABANDONCART20</t>
  </si>
  <si>
    <t>Abandon Cart (Wunderkind)</t>
  </si>
  <si>
    <t>SU2024-ABANDONCART20</t>
  </si>
  <si>
    <t>SU2024-TC-EMAIL-ABANDONCART20</t>
  </si>
  <si>
    <t xml:space="preserve">Welcome Codes (Emarsys) </t>
  </si>
  <si>
    <t>SP2025-TC-WELCOME-15</t>
  </si>
  <si>
    <t xml:space="preserve">Welcome Codes (BloomReach) </t>
  </si>
  <si>
    <t>SP2025-TC-WELCOME-15-BR-SMS</t>
  </si>
  <si>
    <t>Evergreen SMS opt in</t>
  </si>
  <si>
    <t>SP2025-TC-WELCOME-15-SMS</t>
  </si>
  <si>
    <t>Attentive</t>
  </si>
  <si>
    <t>Bloomreach</t>
  </si>
  <si>
    <t>SMS 15%</t>
  </si>
  <si>
    <t>SMS 20%</t>
  </si>
  <si>
    <t>Email 20%</t>
  </si>
  <si>
    <t>Redemptions</t>
  </si>
  <si>
    <t>Issued</t>
  </si>
  <si>
    <t>% Redeemed</t>
  </si>
  <si>
    <t>% Outstanding</t>
  </si>
  <si>
    <t>CCC &amp; PS CODES</t>
  </si>
  <si>
    <t>SMS Total</t>
  </si>
  <si>
    <t>Coupon</t>
  </si>
  <si>
    <t xml:space="preserve">Promotion </t>
  </si>
  <si>
    <t xml:space="preserve">Campaign </t>
  </si>
  <si>
    <t>Email Total</t>
  </si>
  <si>
    <t>2024 Q2</t>
  </si>
  <si>
    <t>CRM Total</t>
  </si>
  <si>
    <t>5/15/24-8/25/24</t>
  </si>
  <si>
    <t>SU2024-CCC-20OFF100</t>
  </si>
  <si>
    <t>SU2024-CCC-10PERCENTOFF</t>
  </si>
  <si>
    <t>244K 20% off SMS enrollments 7/31 thru Oct WK4</t>
  </si>
  <si>
    <t>SU2024-CCC-25OFFORDER</t>
  </si>
  <si>
    <t>SU2024-CCC-FREESHIP</t>
  </si>
  <si>
    <t>enrollments</t>
  </si>
  <si>
    <t>SU2024-CCC-10DOLLARSOFF</t>
  </si>
  <si>
    <t>SU2024-CCC-15PERCENTOFF</t>
  </si>
  <si>
    <t>SU2024-CCC-20PERCENTOFF</t>
  </si>
  <si>
    <t>SU2024-PS-20OFF100</t>
  </si>
  <si>
    <t>SU2024-PS-10PERCENTOFF</t>
  </si>
  <si>
    <t>SU2024-PS-25OFFORDER</t>
  </si>
  <si>
    <t>SU2024-PS-15PERCENTOFF</t>
  </si>
  <si>
    <t>SU2024-PS-20PERCENTOFF</t>
  </si>
  <si>
    <t>2024 Q3</t>
  </si>
  <si>
    <t>8/4/24-11/23/24</t>
  </si>
  <si>
    <t>FA2024-CCC-20OFF100</t>
  </si>
  <si>
    <t>FA2024-CCC-10PERCENTOFF</t>
  </si>
  <si>
    <t>FA2024-CCC-25OFFORDER</t>
  </si>
  <si>
    <t>FA2024-CCC-FREESHIP</t>
  </si>
  <si>
    <t>FA2024-CCC-10DOLLARSOFF</t>
  </si>
  <si>
    <t>FA2024-CCC-15PERCENTOFF</t>
  </si>
  <si>
    <t>FA2024-CCC-20PERCENTOFF</t>
  </si>
  <si>
    <t>FA2024-PS-20OFF100</t>
  </si>
  <si>
    <t>FA2024-PS-10PERCENTOFF</t>
  </si>
  <si>
    <t>FA2024-PS-25OFFORDER</t>
  </si>
  <si>
    <t>FA2024-PS-15PERCENTOFF</t>
  </si>
  <si>
    <t>FA2024-PS-20PERCENTOFF</t>
  </si>
  <si>
    <t>2024 Q4</t>
  </si>
  <si>
    <t>11/3/24-1/22/25</t>
  </si>
  <si>
    <t>HOL2024-CCC-20OFF100</t>
  </si>
  <si>
    <t>HOL2024-CCC-PS-APPEASEMENT-Q4</t>
  </si>
  <si>
    <t>HOL2024-CCC-10PERCENTOFF</t>
  </si>
  <si>
    <t>HOL2024-CCC-25OFFORDER</t>
  </si>
  <si>
    <t>HOL2024-CCC-FREESHIP</t>
  </si>
  <si>
    <t>HOL2024-CCC-10DOLLARSOFF</t>
  </si>
  <si>
    <t>HOL2024-CCC-15PERCENTOFF</t>
  </si>
  <si>
    <t>HOL2024-CCC-20PERCENTOFF</t>
  </si>
  <si>
    <t>HOL2024-PS-20OFF100</t>
  </si>
  <si>
    <t>HOL2024-PS-10PERCENTOFF</t>
  </si>
  <si>
    <t>HOL2024-PS-25OFFORDER</t>
  </si>
  <si>
    <t>HOL2024-PS-15PERCENTOFF</t>
  </si>
  <si>
    <t>HOL2024-PS-20PERCENTOFF</t>
  </si>
  <si>
    <t>2025 Q1</t>
  </si>
  <si>
    <t>1/2/25-5/24/25</t>
  </si>
  <si>
    <t>SP2025-TC-CCC-20OFF100</t>
  </si>
  <si>
    <t>SP2025-TC-CCC-10OFFORDER</t>
  </si>
  <si>
    <t>SP2025-TC-CCC-25OFFORDER</t>
  </si>
  <si>
    <t>SP2025-TC-CCC-5FREESHIP</t>
  </si>
  <si>
    <t>SP2025-TC-CCC-10REWARD</t>
  </si>
  <si>
    <t>SP2025-TC-CCC-15OFFORDER</t>
  </si>
  <si>
    <t>SP2025-TC-CCC-20OFFORDER</t>
  </si>
  <si>
    <t>SP2025-TC-PS-20OFF100</t>
  </si>
  <si>
    <t>SP2025-TC-PS-10OFFORDER</t>
  </si>
  <si>
    <t>SP2025-TC-PS-25OFFORDER</t>
  </si>
  <si>
    <t>SP2025-TC-PS-15OFFORDER</t>
  </si>
  <si>
    <t>SP2025-TC-PS-20OFFORDER</t>
  </si>
  <si>
    <t>CCC/PS Appeasement, Q2, 5/4/25-8/23/25</t>
  </si>
  <si>
    <t>2025 Q2</t>
  </si>
  <si>
    <t>5/4/25-8/23/25</t>
  </si>
  <si>
    <t>SU2025-TC-CCC-20OFF100</t>
  </si>
  <si>
    <t>SU2025-TC-CCC-10OFFORDER</t>
  </si>
  <si>
    <t>SU2025-TC-CCC-25OFFORDER</t>
  </si>
  <si>
    <t>UPDATED TO $7.50 FOR 5/13</t>
  </si>
  <si>
    <t>SU2025-TC-CCC-5FREESHIP</t>
  </si>
  <si>
    <t>SU2025-TC-CCC-10REWARD</t>
  </si>
  <si>
    <t>SU2025-TC-CCC-15OFFORDER</t>
  </si>
  <si>
    <t>SU2025-TC-CCC-20OFFORDER</t>
  </si>
  <si>
    <t>SU2025-TC-PS-20OFF100</t>
  </si>
  <si>
    <t>SU2025-TC-PS-10OFFORDER</t>
  </si>
  <si>
    <t>SU2025-TC-PS-25OFFORDER</t>
  </si>
  <si>
    <t>SU2025-TC-PS-15OFFORDER</t>
  </si>
  <si>
    <t>SU2025-TC-PS-20OFFORDER</t>
  </si>
  <si>
    <t>CCC/PS Appeasement, Q3, 8/3/25-11/22/25</t>
  </si>
  <si>
    <t>2025 Q3</t>
  </si>
  <si>
    <t>8/3/25-11/22/25</t>
  </si>
  <si>
    <t>FA2025-TC-CCC-20OFF100</t>
  </si>
  <si>
    <t>FA2025-TC-CCC-10OFFORDER</t>
  </si>
  <si>
    <t>FA2025-TC-CCC-25OFFORDER</t>
  </si>
  <si>
    <t>FA2025-TC-CCC-750FREESHIP</t>
  </si>
  <si>
    <t>FA2025-TC-CCC-10REWARD</t>
  </si>
  <si>
    <t>FA2025-TC-CCC-15OFFORDER</t>
  </si>
  <si>
    <t>FA2025-TC-CCC-20OFFORDER</t>
  </si>
  <si>
    <t>FA2025-TC-PS-20OFF100</t>
  </si>
  <si>
    <t>FA2025-TC-PS-10OFFORDER</t>
  </si>
  <si>
    <t>FA2025-TC-PS-25OFFORDER</t>
  </si>
  <si>
    <t>FA2025-TC-PS-15OFFORDER</t>
  </si>
  <si>
    <t>FA2025-TC-PS-20OFFORDER</t>
  </si>
  <si>
    <t>2025 Q4</t>
  </si>
  <si>
    <t>CCC/PS Appeasement, Q4, 11/2/25-2/21/26</t>
  </si>
  <si>
    <t>11/2/25-2/21/26</t>
  </si>
  <si>
    <t>HOL2025-TC-CCC-20OFF100</t>
  </si>
  <si>
    <t>HOL2025-TC-CCC-10OFFORDER</t>
  </si>
  <si>
    <t>HOL2025-TC-CCC-25OFFORDER</t>
  </si>
  <si>
    <t>HOL2025-TC-CCC-750FREESHIP</t>
  </si>
  <si>
    <t>HOL2025-TC-CCC-10REWARD</t>
  </si>
  <si>
    <t>HOL2025-TC-CCC-15OFFORDER</t>
  </si>
  <si>
    <t>HOL2025-TC-CCC-20OFFORDER</t>
  </si>
  <si>
    <t>HOL2025-TC-PS-20OFF100</t>
  </si>
  <si>
    <t>HOL2025-TC-PS-10OFFORDER</t>
  </si>
  <si>
    <t>HOL2025-TC-PS-25OFFORDER</t>
  </si>
  <si>
    <t>HOL2025-TC-PS-15OFFORDER</t>
  </si>
  <si>
    <t>HOL2025-TC-PS-20OFFORDER</t>
  </si>
  <si>
    <t>CODES</t>
  </si>
  <si>
    <t>CODES REQUESTED PER QUARTER</t>
  </si>
  <si>
    <t>Q1 REDEMPTIONS</t>
  </si>
  <si>
    <t>Q2 REDEMPTIONS</t>
  </si>
  <si>
    <t>Q3 REDEMPTIONS</t>
  </si>
  <si>
    <t>Q4 REDEMPTIONS</t>
  </si>
  <si>
    <t>2026 Q1 + Q2</t>
  </si>
  <si>
    <t xml:space="preserve">600 each </t>
  </si>
  <si>
    <t>2/1/26-8/1/26</t>
  </si>
  <si>
    <t>CCC/PS Appeasement, Q1 + Q2, 2/1/26-8/1/26</t>
  </si>
  <si>
    <t>SP2026-TC-CCC-PS-APPEASEMENT-Q1-Q2</t>
  </si>
  <si>
    <t>2026 Q3+ Q4</t>
  </si>
  <si>
    <t>CCC/PS Appeasement, Q3 + Q4, 8/2/26-11/21/26</t>
  </si>
  <si>
    <t>8/2/26-11/21/26</t>
  </si>
  <si>
    <t>FA2026-TC-CCC-PS-APPEASEMENT-Q3-Q4</t>
  </si>
  <si>
    <t>CODE</t>
  </si>
  <si>
    <t>YOUR INITIALS</t>
  </si>
  <si>
    <t xml:space="preserve">DATE USED </t>
  </si>
  <si>
    <t xml:space="preserve">CODE USED </t>
  </si>
  <si>
    <t>FRIENDS15/20/25</t>
  </si>
  <si>
    <t>KA</t>
  </si>
  <si>
    <t>COZY#</t>
  </si>
  <si>
    <t>FALL10/20/25</t>
  </si>
  <si>
    <t>FAMILY#</t>
  </si>
  <si>
    <t>TAKE#OFF</t>
  </si>
  <si>
    <t>SURPRISE#</t>
  </si>
  <si>
    <t>TREAT10/20/25</t>
  </si>
  <si>
    <t>SUPERSOFT#</t>
  </si>
  <si>
    <t>COMFY#</t>
  </si>
  <si>
    <t>BRIGHT10/20/25</t>
  </si>
  <si>
    <t>PLAY#</t>
  </si>
  <si>
    <t>HANNAFAN#</t>
  </si>
  <si>
    <t>REWARDS10/15/25</t>
  </si>
  <si>
    <t>PERKS#</t>
  </si>
  <si>
    <t>THANKS#</t>
  </si>
  <si>
    <t>BONUS10/15/25</t>
  </si>
  <si>
    <t>QUICK10/15/25</t>
  </si>
  <si>
    <t>GOINGFAST#</t>
  </si>
  <si>
    <t>FIRSTLOOK#</t>
  </si>
  <si>
    <t>NEWIN#</t>
  </si>
  <si>
    <t>NEWSEASON#</t>
  </si>
  <si>
    <t>FIRST#</t>
  </si>
  <si>
    <t>GETITFIRST#</t>
  </si>
  <si>
    <t>NEWSUMMER#</t>
  </si>
  <si>
    <t>SUMMER#</t>
  </si>
  <si>
    <t>Baby Bundles Exclusions - Updated 10.8</t>
  </si>
  <si>
    <t>81535-1FZ</t>
  </si>
  <si>
    <t>,</t>
  </si>
  <si>
    <t>81535-1FZ,</t>
  </si>
  <si>
    <t>81535-1RR</t>
  </si>
  <si>
    <t>81535-1RR,</t>
  </si>
  <si>
    <t>81535-461</t>
  </si>
  <si>
    <t>81535-461,</t>
  </si>
  <si>
    <t>81535-76X</t>
  </si>
  <si>
    <t>81535-76X,</t>
  </si>
  <si>
    <t>81535-EF5</t>
  </si>
  <si>
    <t>81535-EF5,</t>
  </si>
  <si>
    <t>81535-VZ2</t>
  </si>
  <si>
    <t>81535-VZ2,</t>
  </si>
  <si>
    <t>81538-461</t>
  </si>
  <si>
    <t>81538-461,</t>
  </si>
  <si>
    <t>81538-76X</t>
  </si>
  <si>
    <t>81538-76X,</t>
  </si>
  <si>
    <t>81538-EF5</t>
  </si>
  <si>
    <t>81538-EF5,</t>
  </si>
  <si>
    <t>81553-1FZ</t>
  </si>
  <si>
    <t>81553-1FZ,</t>
  </si>
  <si>
    <t>81553-1RR</t>
  </si>
  <si>
    <t>81553-1RR,</t>
  </si>
  <si>
    <t>81553-461</t>
  </si>
  <si>
    <t>81553-461,</t>
  </si>
  <si>
    <t>81553-76X</t>
  </si>
  <si>
    <t>81553-76X,</t>
  </si>
  <si>
    <t>81553-EF5</t>
  </si>
  <si>
    <t>81553-EF5,</t>
  </si>
  <si>
    <t>81553-VZ2</t>
  </si>
  <si>
    <t>81553-VZ2,</t>
  </si>
  <si>
    <t>81762-76X</t>
  </si>
  <si>
    <t>81762-76X,</t>
  </si>
  <si>
    <t>82026-1VP</t>
  </si>
  <si>
    <t>82026-1VP,</t>
  </si>
  <si>
    <t>82035-1UN</t>
  </si>
  <si>
    <t>82035-1UN,</t>
  </si>
  <si>
    <t>82035-1VG</t>
  </si>
  <si>
    <t>82035-1VG,</t>
  </si>
  <si>
    <t>82035-1VH</t>
  </si>
  <si>
    <t>82035-1VH,</t>
  </si>
  <si>
    <t>82035-22L</t>
  </si>
  <si>
    <t>82035-22L,</t>
  </si>
  <si>
    <t>82035-25S</t>
  </si>
  <si>
    <t>82035-25S,</t>
  </si>
  <si>
    <t>82035-IVJ</t>
  </si>
  <si>
    <t>82035-IVJ,</t>
  </si>
  <si>
    <t>82036-1UN</t>
  </si>
  <si>
    <t>82036-1UN,</t>
  </si>
  <si>
    <t>82036-1VG</t>
  </si>
  <si>
    <t>82036-1VG,</t>
  </si>
  <si>
    <t>82036-1VH</t>
  </si>
  <si>
    <t>82036-1VH,</t>
  </si>
  <si>
    <t>82036-22L</t>
  </si>
  <si>
    <t>82036-22L,</t>
  </si>
  <si>
    <t>82036-25S</t>
  </si>
  <si>
    <t>82036-25S,</t>
  </si>
  <si>
    <t>82036-IVJ</t>
  </si>
  <si>
    <t>82036-IVJ,</t>
  </si>
  <si>
    <t>82710-1GS</t>
  </si>
  <si>
    <t>82710-1GS,</t>
  </si>
  <si>
    <t>82710-1CH</t>
  </si>
  <si>
    <t>82710-1CH,</t>
  </si>
  <si>
    <t>82710-1CB</t>
  </si>
  <si>
    <t>82710-1CB,</t>
  </si>
  <si>
    <t>82710-1CO</t>
  </si>
  <si>
    <t>82710-1CO,</t>
  </si>
  <si>
    <t>82710-1CP</t>
  </si>
  <si>
    <t>82710-1CP,</t>
  </si>
  <si>
    <t>82713-1VG</t>
  </si>
  <si>
    <t>82713-1VG,</t>
  </si>
  <si>
    <t>82713-1UN</t>
  </si>
  <si>
    <t>82713-1UN,</t>
  </si>
  <si>
    <t>82713-IVJ</t>
  </si>
  <si>
    <t>82713-IVJ,</t>
  </si>
  <si>
    <t>82726-36I</t>
  </si>
  <si>
    <t>82726-36I,</t>
  </si>
  <si>
    <t>82726-36J</t>
  </si>
  <si>
    <t>82726-36J,</t>
  </si>
  <si>
    <t>82714-36C</t>
  </si>
  <si>
    <t>82714-36C,</t>
  </si>
  <si>
    <t>82714-36G</t>
  </si>
  <si>
    <t>82714-36G,</t>
  </si>
  <si>
    <t>82307-1WO</t>
  </si>
  <si>
    <t>82307-1WO,</t>
  </si>
  <si>
    <t>82307-2ES</t>
  </si>
  <si>
    <t>82307-2ES,</t>
  </si>
  <si>
    <t>82307-2ET</t>
  </si>
  <si>
    <t>82307-2ET,</t>
  </si>
  <si>
    <t>82307-2EU</t>
  </si>
  <si>
    <t>82307-2EU,</t>
  </si>
  <si>
    <t>82019-1VP</t>
  </si>
  <si>
    <t>82019-1VP,</t>
  </si>
  <si>
    <t>82227-RS8</t>
  </si>
  <si>
    <t>82227-RS8,</t>
  </si>
  <si>
    <t>82228-RS8</t>
  </si>
  <si>
    <t>Approved</t>
  </si>
  <si>
    <t>Not Approved</t>
  </si>
  <si>
    <t>Unlimited</t>
  </si>
  <si>
    <t>One</t>
  </si>
  <si>
    <t xml:space="preserve">Clearance </t>
  </si>
  <si>
    <t>Paid Search</t>
  </si>
  <si>
    <t>Ambassador</t>
  </si>
  <si>
    <t>GET15
Labor Day Sale</t>
  </si>
  <si>
    <t>Extra 15% off with code GET15. Valid on all items, no exclusions through 9/5/23. Discount taken with code GET15 at checkout. Cannot be combined with other offers or applied to previous purchases. Not valid on final sale, giftcards, shipping or taxes. Excludes Hanna-Me-Downs resale transactions and baby bundles. Not redeemable for gift cards, cash, credit, or towards previous purchases. Hanna Andersson reserves the right to modify or cancel this offer at any time.</t>
  </si>
  <si>
    <t>Extra 20% off with code GET20. Valid on select items through 9/5/23. Discount taken with code GET20 at checkout. Cannot be combined with other offers or applied to previous purchases. Not valid on final sale, giftcards, shipping or taxes. Excludes Hanna-Me-Downs resale transactions and baby bundles. Not redeemable for gift cards, cash, credit, or towards previous purchases. Hanna Andersson reserves the right to modify or cancel this offer at any time.</t>
  </si>
  <si>
    <t>Presidents Day Sale</t>
  </si>
  <si>
    <t>25% off</t>
  </si>
  <si>
    <t>no</t>
  </si>
  <si>
    <t>Sitewide promo</t>
  </si>
  <si>
    <t>25% off: Valid on regular price and clearance items, through 11:59pm PT on 2/20/23. Discount taken with code WKND25 at checkout. Not valid on: final sale, international orders, giftcards, shipping or taxes. To redeem, enter code WKND25 in the promo code box during checkout. Limit of one promo code per order, cannot be combined with other offers. Not redeemable for gift cards, cash, credit, or towards previous purchases, no price adjustments. Hanna Andersson reserves the right to modify or cancel this offer at any time.</t>
  </si>
  <si>
    <t xml:space="preserve">Extra 10% off </t>
  </si>
  <si>
    <t>10/22-10/23 (added sunday midday)</t>
  </si>
  <si>
    <t>Flash Sale 20% off</t>
  </si>
  <si>
    <t>7/21-7/23</t>
  </si>
  <si>
    <t>Month</t>
  </si>
  <si>
    <t xml:space="preserve">Sale </t>
  </si>
  <si>
    <t xml:space="preserve">Type </t>
  </si>
  <si>
    <t xml:space="preserve">Messaging </t>
  </si>
  <si>
    <t>Need: Dates, marketing, e-mail or sitewide</t>
  </si>
  <si>
    <t xml:space="preserve">January </t>
  </si>
  <si>
    <t xml:space="preserve">Big Hanna Sale Up to 60% Off + Extra 20% Off </t>
  </si>
  <si>
    <t xml:space="preserve">Prices as marked </t>
  </si>
  <si>
    <t xml:space="preserve">Hero
Promo Drawer </t>
  </si>
  <si>
    <t xml:space="preserve">Big Hanna Sale Up to 75% Off </t>
  </si>
  <si>
    <t xml:space="preserve">Up to 20% Off Valentine's Day </t>
  </si>
  <si>
    <t>Promo Drawer</t>
  </si>
  <si>
    <t xml:space="preserve">Up to 30% Off Valentine's Day </t>
  </si>
  <si>
    <t xml:space="preserve">February </t>
  </si>
  <si>
    <t xml:space="preserve">President's Day Sale - 25% Off Everything </t>
  </si>
  <si>
    <t>w/ code WKND25</t>
  </si>
  <si>
    <t xml:space="preserve">March </t>
  </si>
  <si>
    <t>Up to 30% Off Spring to Summer Styles</t>
  </si>
  <si>
    <t xml:space="preserve">Up to 30% Off Easter Styles </t>
  </si>
  <si>
    <t>Promo Drawer
Skinny Promo Banner</t>
  </si>
  <si>
    <t xml:space="preserve">Hundreds of New Markdowns </t>
  </si>
  <si>
    <t xml:space="preserve">April </t>
  </si>
  <si>
    <t xml:space="preserve">20% Off Clearance </t>
  </si>
  <si>
    <t xml:space="preserve">30% Off Most loved Must Haves </t>
  </si>
  <si>
    <t xml:space="preserve">PJs From $20 </t>
  </si>
  <si>
    <t>Friends &amp; Family Event - 40% Off Sitewide (with exclusions)</t>
  </si>
  <si>
    <t>May</t>
  </si>
  <si>
    <t>Up to 40% Off Swim</t>
  </si>
  <si>
    <t>Promo Drawer 
Skinny Promo Banner</t>
  </si>
  <si>
    <t xml:space="preserve">Up to 30% Off Summer Styles </t>
  </si>
  <si>
    <t>Tees, Shorts, and More from $15</t>
  </si>
  <si>
    <t>UV-Blocking Swim From $25</t>
  </si>
  <si>
    <t>Best-Selling Dresses from $25</t>
  </si>
  <si>
    <t>Memorial Day Sale - Up to 60% Off Sale Styles &amp; Up to 40% Off New Arrivals</t>
  </si>
  <si>
    <t xml:space="preserve">Memorial Day Sale - Up to 60% Off </t>
  </si>
  <si>
    <t>50% Off Summer Pajamas</t>
  </si>
  <si>
    <t>Skinny Promo Banner
Promo Drawer</t>
  </si>
  <si>
    <t>Semi-Annual Baby Event - UP to 50% Off All Baby Styles</t>
  </si>
  <si>
    <t>DATES</t>
  </si>
  <si>
    <t>PROMO MESSAGE</t>
  </si>
  <si>
    <t>CONTINGENCY ASSETS</t>
  </si>
  <si>
    <t>yes</t>
  </si>
  <si>
    <t>15% off new arrivals</t>
  </si>
  <si>
    <t>25% off new arrivals</t>
  </si>
  <si>
    <t>20% off new arrivals</t>
  </si>
  <si>
    <t>15% off order (loyalty gated)</t>
  </si>
  <si>
    <t xml:space="preserve">Keywords To Include </t>
  </si>
  <si>
    <t>Example Campaign Name</t>
  </si>
  <si>
    <t>Season</t>
  </si>
  <si>
    <t>HO23</t>
  </si>
  <si>
    <t>Channel</t>
  </si>
  <si>
    <t>AFFILIATE</t>
  </si>
  <si>
    <t xml:space="preserve">Descrptive word unique to this promotion (if applicable) </t>
  </si>
  <si>
    <t>SEPTNEW</t>
  </si>
  <si>
    <t>HO23-AFFILAITE-SEPTNEW-HANNA20-1201</t>
  </si>
  <si>
    <t>Code (if applicable)</t>
  </si>
  <si>
    <t>HANNA20</t>
  </si>
  <si>
    <t xml:space="preserve">Date promo is going live </t>
  </si>
  <si>
    <t>Transactions</t>
  </si>
  <si>
    <t>Conversion</t>
  </si>
  <si>
    <t>Impressions/Total Sends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</si>
</sst>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ss"/>
    <numFmt numFmtId="165" formatCode="_(* #,##0_);_(* \(#,##0\);_(* &quot;-&quot;??_);_(@_)"/>
    <numFmt numFmtId="166" formatCode="mm/dd/yy;@"/>
  </numFmts>
  <fonts count="65">
    <font>
      <sz val="11"/>
      <color theme="1"/>
      <name val="Calibri"/>
      <family val="2"/>
      <scheme val="minor"/>
    </font>
    <font>
      <sz val="11"/>
      <color theme="1"/>
      <name val="Calibri"/>
      <family val="2"/>
      <scheme val="minor"/>
    </font>
    <font>
      <sz val="11"/>
      <color theme="1"/>
      <name val="Calibri"/>
      <family val="2"/>
      <scheme val="minor"/>
    </font>
    <font>
      <b/>
      <sz val="11"/>
      <color theme="0"/>
      <name val="Calibri"/>
      <family val="2"/>
      <scheme val="minor"/>
    </font>
    <font>
      <b/>
      <sz val="11"/>
      <color rgb="FFFFFFFF"/>
      <name val="Calibri"/>
      <family val="2"/>
    </font>
    <font>
      <b/>
      <i/>
      <sz val="11"/>
      <color rgb="FF4BACC6"/>
      <name val="Calibri"/>
      <family val="2"/>
    </font>
    <font>
      <b/>
      <sz val="11"/>
      <color rgb="FFFFFFFF"/>
      <name val="Calibri"/>
      <family val="2"/>
      <scheme val="minor"/>
    </font>
    <font>
      <b/>
      <sz val="11"/>
      <color theme="0"/>
      <name val="Calibri"/>
      <family val="2"/>
    </font>
    <font>
      <b/>
      <sz val="11"/>
      <color theme="1"/>
      <name val="Calibri"/>
      <family val="2"/>
      <scheme val="minor"/>
    </font>
    <font>
      <b/>
      <sz val="11"/>
      <color rgb="FFC0504D"/>
      <name val="Calibri"/>
      <family val="2"/>
    </font>
    <font>
      <b/>
      <sz val="11"/>
      <color rgb="FFED7D31"/>
      <name val="Calibri"/>
      <family val="2"/>
      <scheme val="minor"/>
    </font>
    <font>
      <b/>
      <sz val="11"/>
      <color rgb="FFED7D31"/>
      <name val="Calibri"/>
      <family val="2"/>
    </font>
    <font>
      <b/>
      <i/>
      <sz val="11"/>
      <color rgb="FFFFFFFF"/>
      <name val="Calibri"/>
      <family val="2"/>
    </font>
    <font>
      <b/>
      <i/>
      <sz val="11"/>
      <color rgb="FFBDD7EE"/>
      <name val="Calibri"/>
      <family val="2"/>
    </font>
    <font>
      <b/>
      <sz val="11"/>
      <color rgb="FFA9D08E"/>
      <name val="Calibri"/>
      <family val="2"/>
    </font>
    <font>
      <b/>
      <sz val="11"/>
      <color rgb="FFA9D08E"/>
      <name val="Calibri"/>
      <family val="2"/>
      <scheme val="minor"/>
    </font>
    <font>
      <sz val="11"/>
      <color theme="0"/>
      <name val="Calibri"/>
      <family val="2"/>
      <scheme val="minor"/>
    </font>
    <font>
      <i/>
      <sz val="11"/>
      <color theme="1"/>
      <name val="Calibri"/>
      <family val="2"/>
      <scheme val="minor"/>
    </font>
    <font>
      <sz val="11"/>
      <color theme="4"/>
      <name val="Calibri"/>
      <family val="2"/>
      <scheme val="minor"/>
    </font>
    <font>
      <b/>
      <sz val="11"/>
      <color rgb="FF000000"/>
      <name val="Calibri"/>
      <family val="2"/>
      <scheme val="minor"/>
    </font>
    <font>
      <sz val="10"/>
      <color theme="1"/>
      <name val="Calibri"/>
      <family val="2"/>
      <scheme val="minor"/>
    </font>
    <font>
      <sz val="11"/>
      <color rgb="FF000000"/>
      <name val="Calibri"/>
      <family val="2"/>
      <scheme val="minor"/>
    </font>
    <font>
      <sz val="11"/>
      <color rgb="FF111111"/>
      <name val="Calibri"/>
      <family val="2"/>
    </font>
    <font>
      <sz val="11"/>
      <color rgb="FF000000"/>
      <name val="Calibri"/>
      <family val="2"/>
    </font>
    <font>
      <sz val="11"/>
      <color rgb="FF111111"/>
      <name val="Calibri"/>
      <family val="2"/>
      <scheme val="minor"/>
    </font>
    <font>
      <sz val="11"/>
      <color rgb="FF111111"/>
      <name val="Futura-Pt"/>
      <charset val="1"/>
    </font>
    <font>
      <sz val="11"/>
      <color rgb="FFFF0000"/>
      <name val="Calibri"/>
      <family val="2"/>
      <scheme val="minor"/>
    </font>
    <font>
      <b/>
      <sz val="9"/>
      <color theme="1"/>
      <name val="Calibri"/>
      <family val="2"/>
      <scheme val="minor"/>
    </font>
    <font>
      <sz val="9"/>
      <color theme="1"/>
      <name val="Calibri"/>
      <family val="2"/>
      <scheme val="minor"/>
    </font>
    <font>
      <sz val="9"/>
      <color rgb="FF111111"/>
      <name val="Calibri"/>
      <family val="2"/>
    </font>
    <font>
      <i/>
      <sz val="11"/>
      <color rgb="FF000000"/>
      <name val="Calibri"/>
      <family val="2"/>
      <scheme val="minor"/>
    </font>
    <font>
      <strike/>
      <sz val="11"/>
      <color theme="1"/>
      <name val="Calibri"/>
      <family val="2"/>
      <scheme val="minor"/>
    </font>
    <font>
      <b/>
      <strike/>
      <sz val="11"/>
      <color theme="1"/>
      <name val="Calibri"/>
      <family val="2"/>
      <scheme val="minor"/>
    </font>
    <font>
      <b/>
      <sz val="11"/>
      <color rgb="FF000000"/>
      <name val="Calibri"/>
      <family val="2"/>
    </font>
    <font>
      <strike/>
      <sz val="11"/>
      <color rgb="FF000000"/>
      <name val="Calibri"/>
      <family val="2"/>
      <scheme val="minor"/>
    </font>
    <font>
      <strike/>
      <sz val="11"/>
      <color rgb="FF000000"/>
      <name val="Calibri"/>
      <family val="2"/>
    </font>
    <font>
      <b/>
      <strike/>
      <sz val="11"/>
      <color rgb="FF000000"/>
      <name val="Calibri"/>
      <family val="2"/>
      <scheme val="minor"/>
    </font>
    <font>
      <u/>
      <sz val="11"/>
      <color rgb="FF000000"/>
      <name val="Calibri"/>
      <family val="2"/>
    </font>
    <font>
      <sz val="11"/>
      <name val="Calibri"/>
      <family val="2"/>
    </font>
    <font>
      <sz val="11"/>
      <name val="Calibri"/>
      <family val="2"/>
      <scheme val="minor"/>
    </font>
    <font>
      <sz val="11"/>
      <color rgb="FFFF0000"/>
      <name val="Calibri"/>
      <family val="2"/>
    </font>
    <font>
      <b/>
      <sz val="11"/>
      <color rgb="FFFF0000"/>
      <name val="Calibri"/>
      <family val="2"/>
      <scheme val="minor"/>
    </font>
    <font>
      <sz val="11"/>
      <color rgb="FF242424"/>
      <name val="Aptos Narrow"/>
      <family val="2"/>
    </font>
    <font>
      <sz val="10"/>
      <color rgb="FF16325C"/>
      <name val="Salesforce Sans"/>
      <charset val="1"/>
    </font>
    <font>
      <sz val="12"/>
      <color rgb="FF111111"/>
      <name val="Futura-Pt"/>
      <charset val="1"/>
    </font>
    <font>
      <b/>
      <sz val="11"/>
      <color rgb="FFFF0000"/>
      <name val="Calibri"/>
      <family val="2"/>
    </font>
    <font>
      <sz val="11"/>
      <color theme="5"/>
      <name val="Calibri"/>
      <family val="2"/>
      <scheme val="minor"/>
    </font>
    <font>
      <sz val="11"/>
      <color rgb="FF000000"/>
      <name val="Trebuchet MS"/>
      <family val="2"/>
    </font>
    <font>
      <b/>
      <sz val="11"/>
      <color rgb="FF70AD47"/>
      <name val="Calibri"/>
      <family val="2"/>
    </font>
    <font>
      <sz val="11"/>
      <color rgb="FF00B050"/>
      <name val="Calibri"/>
      <family val="2"/>
      <scheme val="minor"/>
    </font>
    <font>
      <b/>
      <i/>
      <sz val="11"/>
      <color theme="1"/>
      <name val="Calibri"/>
      <family val="2"/>
      <scheme val="minor"/>
    </font>
    <font>
      <sz val="11"/>
      <color rgb="FF70AD47"/>
      <name val="Calibri"/>
      <family val="2"/>
      <scheme val="minor"/>
    </font>
    <font>
      <sz val="10"/>
      <color rgb="FF000000"/>
      <name val="Tahoma"/>
      <family val="2"/>
    </font>
    <font>
      <b/>
      <sz val="10"/>
      <color rgb="FF000000"/>
      <name val="Tahoma"/>
      <family val="2"/>
    </font>
    <font>
      <sz val="11"/>
      <color rgb="FF9C0006"/>
      <name val="Calibri"/>
      <family val="2"/>
      <scheme val="minor"/>
    </font>
    <font>
      <b/>
      <sz val="10"/>
      <color theme="1"/>
      <name val="Calibri"/>
      <family val="2"/>
      <scheme val="minor"/>
    </font>
    <font>
      <b/>
      <sz val="10"/>
      <color theme="0"/>
      <name val="Calibri"/>
      <family val="2"/>
      <scheme val="minor"/>
    </font>
    <font>
      <sz val="10"/>
      <name val="Calibri"/>
      <family val="2"/>
      <scheme val="minor"/>
    </font>
    <font>
      <sz val="10"/>
      <color rgb="FF000000"/>
      <name val="Helvetica Neue"/>
      <charset val="1"/>
    </font>
    <font>
      <u/>
      <sz val="11"/>
      <color theme="10"/>
      <name val="Calibri"/>
      <family val="2"/>
      <scheme val="minor"/>
    </font>
    <font>
      <sz val="11"/>
      <color rgb="FF000000"/>
      <name val="Calibri"/>
      <scheme val="minor"/>
    </font>
    <font>
      <sz val="11"/>
      <color rgb="FF000000"/>
      <name val="Calibri"/>
      <charset val="1"/>
    </font>
    <font>
      <sz val="11"/>
      <color rgb="FF000000"/>
      <name val="Calibri"/>
    </font>
    <font>
      <sz val="11"/>
      <color rgb="FF70AD47"/>
      <name val="Calibri"/>
    </font>
    <font>
      <sz val="11"/>
      <color rgb="FF242424"/>
      <name val="Aptos Narrow"/>
      <charset val="1"/>
    </font>
  </fonts>
  <fills count="29">
    <fill>
      <patternFill patternType="none"/>
    </fill>
    <fill>
      <patternFill patternType="gray125"/>
    </fill>
    <fill>
      <patternFill patternType="solid">
        <fgColor theme="4"/>
        <bgColor indexed="64"/>
      </patternFill>
    </fill>
    <fill>
      <patternFill patternType="solid">
        <fgColor rgb="FFC00000"/>
        <bgColor indexed="64"/>
      </patternFill>
    </fill>
    <fill>
      <patternFill patternType="solid">
        <fgColor rgb="FFFFC000"/>
        <bgColor indexed="64"/>
      </patternFill>
    </fill>
    <fill>
      <patternFill patternType="solid">
        <fgColor theme="1"/>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7"/>
        <bgColor indexed="64"/>
      </patternFill>
    </fill>
    <fill>
      <patternFill patternType="solid">
        <fgColor theme="9"/>
        <bgColor indexed="64"/>
      </patternFill>
    </fill>
    <fill>
      <patternFill patternType="solid">
        <fgColor theme="0" tint="-4.9989318521683403E-2"/>
        <bgColor indexed="64"/>
      </patternFill>
    </fill>
    <fill>
      <patternFill patternType="solid">
        <fgColor theme="0"/>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0" tint="-0.34998626667073579"/>
        <bgColor indexed="64"/>
      </patternFill>
    </fill>
    <fill>
      <patternFill patternType="solid">
        <fgColor rgb="FFD6DCE4"/>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rgb="FFFFC7CE"/>
      </patternFill>
    </fill>
    <fill>
      <patternFill patternType="solid">
        <fgColor theme="3" tint="0.59999389629810485"/>
        <bgColor indexed="64"/>
      </patternFill>
    </fill>
    <fill>
      <patternFill patternType="solid">
        <fgColor theme="3" tint="0.39997558519241921"/>
        <bgColor indexed="64"/>
      </patternFill>
    </fill>
    <fill>
      <patternFill patternType="solid">
        <fgColor theme="9" tint="0.79998168889431442"/>
        <bgColor indexed="64"/>
      </patternFill>
    </fill>
    <fill>
      <patternFill patternType="solid">
        <fgColor rgb="FFEDA8A8"/>
        <bgColor indexed="64"/>
      </patternFill>
    </fill>
    <fill>
      <patternFill patternType="solid">
        <fgColor theme="8" tint="0.79998168889431442"/>
        <bgColor indexed="64"/>
      </patternFill>
    </fill>
    <fill>
      <patternFill patternType="solid">
        <fgColor theme="2" tint="-0.249977111117893"/>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indexed="64"/>
      </top>
      <bottom/>
      <diagonal/>
    </border>
  </borders>
  <cellStyleXfs count="4">
    <xf numFmtId="0" fontId="0" fillId="0" borderId="0"/>
    <xf numFmtId="9" fontId="2" fillId="0" borderId="0" applyFont="0" applyFill="0" applyBorder="0" applyAlignment="0" applyProtection="0"/>
    <xf numFmtId="0" fontId="54" fillId="22" borderId="0" applyNumberFormat="0" applyBorder="0" applyAlignment="0" applyProtection="0"/>
    <xf numFmtId="0" fontId="59" fillId="0" borderId="0" applyNumberFormat="0" applyFill="0" applyBorder="0" applyAlignment="0" applyProtection="0"/>
  </cellStyleXfs>
  <cellXfs count="315">
    <xf numFmtId="0" fontId="0" fillId="0" borderId="0" xfId="0"/>
    <xf numFmtId="0" fontId="7"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8" fillId="0" borderId="0" xfId="0" applyFont="1" applyAlignment="1">
      <alignment horizontal="center" vertical="center" wrapText="1"/>
    </xf>
    <xf numFmtId="0" fontId="3" fillId="2" borderId="1" xfId="0" applyFont="1" applyFill="1" applyBorder="1" applyAlignment="1">
      <alignment horizontal="center" vertical="center" wrapText="1"/>
    </xf>
    <xf numFmtId="0" fontId="0" fillId="0" borderId="1" xfId="0" applyBorder="1" applyAlignment="1">
      <alignment horizontal="center" vertical="center"/>
    </xf>
    <xf numFmtId="0" fontId="16" fillId="5" borderId="0" xfId="0" applyFont="1" applyFill="1" applyAlignment="1">
      <alignment horizontal="center"/>
    </xf>
    <xf numFmtId="0" fontId="0" fillId="0" borderId="0" xfId="0" applyAlignment="1">
      <alignment horizontal="center" vertical="center" wrapText="1"/>
    </xf>
    <xf numFmtId="0" fontId="16" fillId="5" borderId="0" xfId="0" applyFont="1" applyFill="1" applyAlignment="1">
      <alignment horizontal="center" vertical="center" wrapText="1"/>
    </xf>
    <xf numFmtId="0" fontId="0" fillId="0" borderId="1" xfId="0" applyBorder="1" applyAlignment="1">
      <alignment horizontal="center" vertical="center" wrapText="1"/>
    </xf>
    <xf numFmtId="0" fontId="7" fillId="2"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16" fillId="5" borderId="0" xfId="0" applyFont="1" applyFill="1"/>
    <xf numFmtId="0" fontId="17" fillId="0" borderId="0" xfId="0" applyFont="1"/>
    <xf numFmtId="0" fontId="18" fillId="0" borderId="0" xfId="0" applyFont="1"/>
    <xf numFmtId="0" fontId="8" fillId="6" borderId="3" xfId="0" applyFont="1" applyFill="1" applyBorder="1"/>
    <xf numFmtId="0" fontId="19" fillId="6" borderId="3" xfId="0" applyFont="1" applyFill="1" applyBorder="1"/>
    <xf numFmtId="0" fontId="20" fillId="0" borderId="1" xfId="0" applyFont="1" applyBorder="1" applyAlignment="1">
      <alignment horizontal="center" vertical="center"/>
    </xf>
    <xf numFmtId="0" fontId="0" fillId="7" borderId="1" xfId="0" applyFill="1" applyBorder="1" applyAlignment="1">
      <alignment horizontal="center" vertical="center"/>
    </xf>
    <xf numFmtId="0" fontId="0" fillId="0" borderId="1" xfId="0" applyBorder="1" applyAlignment="1">
      <alignment vertical="center" wrapText="1"/>
    </xf>
    <xf numFmtId="0" fontId="20" fillId="0" borderId="1" xfId="0" applyFont="1" applyBorder="1" applyAlignment="1">
      <alignment horizontal="center" vertical="center" wrapText="1"/>
    </xf>
    <xf numFmtId="0" fontId="21" fillId="0" borderId="1" xfId="0" applyFont="1" applyBorder="1" applyAlignment="1">
      <alignment vertical="center" wrapText="1"/>
    </xf>
    <xf numFmtId="0" fontId="0" fillId="7" borderId="1" xfId="0" applyFill="1" applyBorder="1" applyAlignment="1">
      <alignment horizontal="center" vertical="center" wrapText="1"/>
    </xf>
    <xf numFmtId="0" fontId="0" fillId="7" borderId="2" xfId="0" applyFill="1" applyBorder="1" applyAlignment="1">
      <alignment horizontal="center" vertical="center" wrapText="1"/>
    </xf>
    <xf numFmtId="0" fontId="23" fillId="0" borderId="1" xfId="0" applyFont="1" applyBorder="1" applyAlignment="1">
      <alignment horizontal="left" vertical="center" wrapText="1"/>
    </xf>
    <xf numFmtId="0" fontId="25" fillId="0" borderId="0" xfId="0" applyFont="1"/>
    <xf numFmtId="0" fontId="0" fillId="0" borderId="0" xfId="0" applyAlignment="1">
      <alignment horizontal="center" vertical="center"/>
    </xf>
    <xf numFmtId="0" fontId="16" fillId="0" borderId="0" xfId="0" applyFont="1"/>
    <xf numFmtId="0" fontId="0" fillId="3" borderId="1" xfId="0" applyFill="1" applyBorder="1"/>
    <xf numFmtId="0" fontId="0" fillId="8" borderId="1" xfId="0" applyFill="1" applyBorder="1"/>
    <xf numFmtId="10" fontId="0" fillId="0" borderId="0" xfId="0" applyNumberFormat="1"/>
    <xf numFmtId="165" fontId="0" fillId="0" borderId="0" xfId="0" applyNumberFormat="1"/>
    <xf numFmtId="0" fontId="23" fillId="0" borderId="0" xfId="0" applyFont="1" applyAlignment="1">
      <alignment horizontal="center" vertical="center" wrapText="1"/>
    </xf>
    <xf numFmtId="14" fontId="8" fillId="0" borderId="0" xfId="0" applyNumberFormat="1" applyFont="1" applyAlignment="1">
      <alignment horizontal="center" vertical="center" wrapText="1"/>
    </xf>
    <xf numFmtId="165" fontId="8" fillId="0" borderId="0" xfId="0" applyNumberFormat="1" applyFont="1" applyAlignment="1">
      <alignment horizontal="center" vertical="center" wrapText="1"/>
    </xf>
    <xf numFmtId="3" fontId="8" fillId="0" borderId="0" xfId="0" applyNumberFormat="1" applyFont="1" applyAlignment="1">
      <alignment horizontal="center" vertical="center" wrapText="1"/>
    </xf>
    <xf numFmtId="164" fontId="8" fillId="0" borderId="0" xfId="0" applyNumberFormat="1" applyFont="1" applyAlignment="1">
      <alignment horizontal="center" vertical="center" wrapText="1"/>
    </xf>
    <xf numFmtId="0" fontId="16" fillId="5" borderId="0" xfId="0" applyFont="1" applyFill="1" applyAlignment="1">
      <alignment horizontal="center" vertical="center"/>
    </xf>
    <xf numFmtId="0" fontId="0" fillId="9" borderId="1" xfId="0" applyFill="1" applyBorder="1"/>
    <xf numFmtId="3" fontId="8" fillId="10" borderId="0" xfId="0" applyNumberFormat="1" applyFont="1" applyFill="1" applyAlignment="1">
      <alignment horizontal="center" vertical="center" wrapText="1"/>
    </xf>
    <xf numFmtId="0" fontId="8" fillId="10" borderId="0" xfId="0" applyFont="1" applyFill="1" applyAlignment="1">
      <alignment horizontal="center" vertical="center" wrapText="1"/>
    </xf>
    <xf numFmtId="14" fontId="8" fillId="10" borderId="0" xfId="0" applyNumberFormat="1" applyFont="1" applyFill="1" applyAlignment="1">
      <alignment horizontal="center" vertical="center" wrapText="1"/>
    </xf>
    <xf numFmtId="0" fontId="0" fillId="2" borderId="1" xfId="0" applyFill="1" applyBorder="1" applyAlignment="1">
      <alignment horizontal="center" vertical="center"/>
    </xf>
    <xf numFmtId="0" fontId="0" fillId="10" borderId="1" xfId="0" applyFill="1" applyBorder="1"/>
    <xf numFmtId="10" fontId="8" fillId="10" borderId="0" xfId="0" applyNumberFormat="1" applyFont="1" applyFill="1" applyAlignment="1">
      <alignment horizontal="center" vertical="center" wrapText="1"/>
    </xf>
    <xf numFmtId="0" fontId="6" fillId="2" borderId="2" xfId="0" applyFont="1" applyFill="1" applyBorder="1" applyAlignment="1">
      <alignment horizontal="center" vertical="center" wrapText="1"/>
    </xf>
    <xf numFmtId="0" fontId="0" fillId="0" borderId="3" xfId="0" applyBorder="1" applyAlignment="1">
      <alignment horizontal="center" vertical="center" wrapText="1"/>
    </xf>
    <xf numFmtId="0" fontId="27" fillId="11" borderId="6" xfId="0" applyFont="1" applyFill="1" applyBorder="1" applyAlignment="1">
      <alignment horizontal="left" vertical="top" wrapText="1"/>
    </xf>
    <xf numFmtId="0" fontId="28" fillId="11" borderId="0" xfId="0" applyFont="1" applyFill="1" applyAlignment="1">
      <alignment horizontal="left" vertical="top" wrapText="1"/>
    </xf>
    <xf numFmtId="166" fontId="28" fillId="11" borderId="6" xfId="0" applyNumberFormat="1" applyFont="1" applyFill="1" applyBorder="1" applyAlignment="1">
      <alignment horizontal="left" vertical="top" wrapText="1"/>
    </xf>
    <xf numFmtId="166" fontId="28" fillId="11" borderId="7" xfId="0" applyNumberFormat="1" applyFont="1" applyFill="1" applyBorder="1" applyAlignment="1">
      <alignment horizontal="left" vertical="top" wrapText="1"/>
    </xf>
    <xf numFmtId="0" fontId="28" fillId="11" borderId="8" xfId="0" applyFont="1" applyFill="1" applyBorder="1" applyAlignment="1">
      <alignment horizontal="left" vertical="top" wrapText="1"/>
    </xf>
    <xf numFmtId="0" fontId="29" fillId="11" borderId="8" xfId="0" applyFont="1" applyFill="1" applyBorder="1" applyAlignment="1">
      <alignment horizontal="left" vertical="top" wrapText="1"/>
    </xf>
    <xf numFmtId="0" fontId="28" fillId="11" borderId="6" xfId="0" applyFont="1" applyFill="1" applyBorder="1" applyAlignment="1">
      <alignment horizontal="left" vertical="top" wrapText="1"/>
    </xf>
    <xf numFmtId="0" fontId="28" fillId="11" borderId="9" xfId="0" applyFont="1" applyFill="1" applyBorder="1" applyAlignment="1">
      <alignment horizontal="left" vertical="top" wrapText="1"/>
    </xf>
    <xf numFmtId="0" fontId="28" fillId="11" borderId="7" xfId="0" applyFont="1" applyFill="1" applyBorder="1" applyAlignment="1">
      <alignment horizontal="left" vertical="top" wrapText="1"/>
    </xf>
    <xf numFmtId="0" fontId="0" fillId="10" borderId="0" xfId="0" applyFill="1" applyAlignment="1">
      <alignment horizontal="center" vertical="center"/>
    </xf>
    <xf numFmtId="0" fontId="3" fillId="9"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3" fillId="9" borderId="2" xfId="0" applyFont="1" applyFill="1" applyBorder="1" applyAlignment="1">
      <alignment horizontal="center" vertical="center" wrapText="1"/>
    </xf>
    <xf numFmtId="0" fontId="23" fillId="0" borderId="1" xfId="0" applyFont="1" applyBorder="1" applyAlignment="1">
      <alignment wrapText="1"/>
    </xf>
    <xf numFmtId="0" fontId="3" fillId="2" borderId="2" xfId="0" applyFont="1" applyFill="1" applyBorder="1" applyAlignment="1">
      <alignment horizontal="center" vertical="center"/>
    </xf>
    <xf numFmtId="10" fontId="19" fillId="12" borderId="0" xfId="0" applyNumberFormat="1" applyFont="1" applyFill="1" applyAlignment="1">
      <alignment horizontal="center" vertical="center" wrapText="1"/>
    </xf>
    <xf numFmtId="0" fontId="21" fillId="12" borderId="0" xfId="0" applyFont="1" applyFill="1" applyAlignment="1">
      <alignment horizontal="center" vertical="center"/>
    </xf>
    <xf numFmtId="0" fontId="19" fillId="12" borderId="0" xfId="0" applyFont="1" applyFill="1" applyAlignment="1">
      <alignment horizontal="center" vertical="center" wrapText="1"/>
    </xf>
    <xf numFmtId="14" fontId="0" fillId="12" borderId="0" xfId="0" applyNumberFormat="1" applyFill="1" applyAlignment="1">
      <alignment horizontal="center" vertical="center"/>
    </xf>
    <xf numFmtId="10" fontId="8" fillId="12" borderId="0" xfId="0" applyNumberFormat="1" applyFont="1" applyFill="1" applyAlignment="1">
      <alignment horizontal="center" vertical="center" wrapText="1"/>
    </xf>
    <xf numFmtId="0" fontId="0" fillId="12" borderId="0" xfId="0" applyFill="1" applyAlignment="1">
      <alignment horizontal="center" vertical="center"/>
    </xf>
    <xf numFmtId="0" fontId="8" fillId="12" borderId="0" xfId="0" applyFont="1" applyFill="1" applyAlignment="1">
      <alignment horizontal="center" vertical="center" wrapText="1"/>
    </xf>
    <xf numFmtId="14" fontId="0" fillId="13" borderId="0" xfId="0" applyNumberFormat="1" applyFill="1" applyAlignment="1">
      <alignment horizontal="center" vertical="center"/>
    </xf>
    <xf numFmtId="10" fontId="8" fillId="13" borderId="0" xfId="0" applyNumberFormat="1" applyFont="1" applyFill="1" applyAlignment="1">
      <alignment horizontal="center" vertical="center" wrapText="1"/>
    </xf>
    <xf numFmtId="0" fontId="0" fillId="13" borderId="0" xfId="0" applyFill="1" applyAlignment="1">
      <alignment horizontal="center" vertical="center"/>
    </xf>
    <xf numFmtId="0" fontId="8" fillId="12" borderId="0" xfId="0" applyFont="1" applyFill="1" applyAlignment="1">
      <alignment horizontal="center" vertical="center"/>
    </xf>
    <xf numFmtId="0" fontId="0" fillId="7" borderId="10" xfId="0" applyFill="1" applyBorder="1" applyAlignment="1">
      <alignment horizontal="center" vertical="center" wrapText="1"/>
    </xf>
    <xf numFmtId="0" fontId="16" fillId="0" borderId="0" xfId="0" applyFont="1" applyAlignment="1">
      <alignment horizontal="center" vertical="center"/>
    </xf>
    <xf numFmtId="0" fontId="16" fillId="2" borderId="0" xfId="0" applyFont="1" applyFill="1" applyAlignment="1">
      <alignment horizontal="center" vertical="center"/>
    </xf>
    <xf numFmtId="0" fontId="8" fillId="0" borderId="0" xfId="0" applyFont="1" applyAlignment="1">
      <alignment horizontal="center" vertical="center"/>
    </xf>
    <xf numFmtId="0" fontId="8" fillId="7" borderId="0" xfId="0" applyFont="1" applyFill="1" applyAlignment="1">
      <alignment horizontal="center" vertical="center"/>
    </xf>
    <xf numFmtId="0" fontId="0" fillId="7" borderId="0" xfId="0" applyFill="1" applyAlignment="1">
      <alignment horizontal="center" vertical="center"/>
    </xf>
    <xf numFmtId="0" fontId="0" fillId="7" borderId="0" xfId="0" applyFill="1" applyAlignment="1">
      <alignment horizontal="center" vertical="center" wrapText="1"/>
    </xf>
    <xf numFmtId="0" fontId="0" fillId="7" borderId="0" xfId="0" applyFill="1"/>
    <xf numFmtId="10" fontId="32" fillId="10" borderId="0" xfId="0" applyNumberFormat="1" applyFont="1" applyFill="1" applyAlignment="1">
      <alignment horizontal="center" vertical="center" wrapText="1"/>
    </xf>
    <xf numFmtId="0" fontId="31" fillId="0" borderId="0" xfId="0" applyFont="1" applyAlignment="1">
      <alignment horizontal="center" vertical="center"/>
    </xf>
    <xf numFmtId="0" fontId="31" fillId="10" borderId="0" xfId="0" applyFont="1" applyFill="1" applyAlignment="1">
      <alignment horizontal="center" vertical="center"/>
    </xf>
    <xf numFmtId="0" fontId="21" fillId="7" borderId="1" xfId="0" applyFont="1" applyFill="1" applyBorder="1" applyAlignment="1">
      <alignment horizontal="center" vertical="center" wrapText="1"/>
    </xf>
    <xf numFmtId="0" fontId="21" fillId="7" borderId="2" xfId="0" applyFont="1" applyFill="1" applyBorder="1" applyAlignment="1">
      <alignment horizontal="center" vertical="center" wrapText="1"/>
    </xf>
    <xf numFmtId="0" fontId="21" fillId="7" borderId="10" xfId="0" applyFont="1" applyFill="1" applyBorder="1" applyAlignment="1">
      <alignment horizontal="center" vertical="center" wrapText="1"/>
    </xf>
    <xf numFmtId="14" fontId="31" fillId="0" borderId="0" xfId="0" applyNumberFormat="1" applyFont="1" applyAlignment="1">
      <alignment horizontal="center" vertical="center"/>
    </xf>
    <xf numFmtId="14" fontId="31" fillId="13" borderId="0" xfId="0" applyNumberFormat="1" applyFont="1" applyFill="1" applyAlignment="1">
      <alignment horizontal="center" vertical="center"/>
    </xf>
    <xf numFmtId="10" fontId="32" fillId="13" borderId="0" xfId="0" applyNumberFormat="1" applyFont="1" applyFill="1" applyAlignment="1">
      <alignment horizontal="center" vertical="center" wrapText="1"/>
    </xf>
    <xf numFmtId="0" fontId="31" fillId="13" borderId="0" xfId="0" applyFont="1" applyFill="1" applyAlignment="1">
      <alignment horizontal="center" vertical="center"/>
    </xf>
    <xf numFmtId="49" fontId="0" fillId="12" borderId="0" xfId="0" applyNumberFormat="1" applyFill="1" applyAlignment="1">
      <alignment horizontal="center" vertical="center"/>
    </xf>
    <xf numFmtId="0" fontId="34" fillId="7" borderId="1" xfId="0" applyFont="1" applyFill="1" applyBorder="1" applyAlignment="1">
      <alignment horizontal="center" vertical="center" wrapText="1"/>
    </xf>
    <xf numFmtId="0" fontId="0" fillId="12" borderId="0" xfId="0" applyFill="1" applyAlignment="1">
      <alignment horizontal="center" vertical="center" wrapText="1"/>
    </xf>
    <xf numFmtId="3" fontId="0" fillId="12" borderId="0" xfId="0" applyNumberFormat="1" applyFill="1" applyAlignment="1">
      <alignment horizontal="center" vertical="center"/>
    </xf>
    <xf numFmtId="3" fontId="0" fillId="13" borderId="0" xfId="0" applyNumberFormat="1" applyFill="1" applyAlignment="1">
      <alignment horizontal="center" vertical="center"/>
    </xf>
    <xf numFmtId="14" fontId="31" fillId="10" borderId="0" xfId="0" applyNumberFormat="1" applyFont="1" applyFill="1" applyAlignment="1">
      <alignment horizontal="center" vertical="center"/>
    </xf>
    <xf numFmtId="3" fontId="31" fillId="13" borderId="0" xfId="0" applyNumberFormat="1" applyFont="1" applyFill="1" applyAlignment="1">
      <alignment horizontal="center" vertical="center"/>
    </xf>
    <xf numFmtId="3" fontId="31" fillId="0" borderId="0" xfId="0" applyNumberFormat="1" applyFont="1" applyAlignment="1">
      <alignment horizontal="center" vertical="center"/>
    </xf>
    <xf numFmtId="14" fontId="21" fillId="12" borderId="0" xfId="0" applyNumberFormat="1" applyFont="1" applyFill="1" applyAlignment="1">
      <alignment horizontal="center" vertical="center"/>
    </xf>
    <xf numFmtId="14" fontId="0" fillId="0" borderId="0" xfId="0" applyNumberFormat="1" applyAlignment="1">
      <alignment horizontal="center" vertical="center"/>
    </xf>
    <xf numFmtId="0" fontId="23" fillId="12" borderId="0" xfId="0" applyFont="1" applyFill="1" applyAlignment="1">
      <alignment horizontal="center" vertical="center"/>
    </xf>
    <xf numFmtId="0" fontId="31" fillId="12" borderId="0" xfId="0" applyFont="1" applyFill="1" applyAlignment="1">
      <alignment horizontal="center" vertical="center" wrapText="1"/>
    </xf>
    <xf numFmtId="14" fontId="31" fillId="12" borderId="0" xfId="0" applyNumberFormat="1" applyFont="1" applyFill="1" applyAlignment="1">
      <alignment horizontal="center" vertical="center"/>
    </xf>
    <xf numFmtId="0" fontId="31" fillId="12" borderId="0" xfId="0" applyFont="1" applyFill="1" applyAlignment="1">
      <alignment horizontal="center" vertical="center"/>
    </xf>
    <xf numFmtId="10" fontId="32" fillId="12" borderId="0" xfId="0" applyNumberFormat="1" applyFont="1" applyFill="1" applyAlignment="1">
      <alignment horizontal="center" vertical="center" wrapText="1"/>
    </xf>
    <xf numFmtId="165" fontId="31" fillId="12" borderId="0" xfId="0" applyNumberFormat="1" applyFont="1" applyFill="1" applyAlignment="1">
      <alignment horizontal="center" vertical="center"/>
    </xf>
    <xf numFmtId="49" fontId="31" fillId="12" borderId="0" xfId="0" applyNumberFormat="1" applyFont="1" applyFill="1" applyAlignment="1">
      <alignment horizontal="center" vertical="center"/>
    </xf>
    <xf numFmtId="0" fontId="36" fillId="12" borderId="0" xfId="0" applyFont="1" applyFill="1" applyAlignment="1">
      <alignment horizontal="center" vertical="center"/>
    </xf>
    <xf numFmtId="0" fontId="19" fillId="12" borderId="0" xfId="0" applyFont="1" applyFill="1" applyAlignment="1">
      <alignment horizontal="center" vertical="center"/>
    </xf>
    <xf numFmtId="0" fontId="19" fillId="7" borderId="1" xfId="0" applyFont="1" applyFill="1" applyBorder="1" applyAlignment="1">
      <alignment horizontal="center" vertical="center" wrapText="1"/>
    </xf>
    <xf numFmtId="10" fontId="0" fillId="12" borderId="0" xfId="0" applyNumberFormat="1" applyFill="1" applyAlignment="1">
      <alignment horizontal="center" vertical="center"/>
    </xf>
    <xf numFmtId="10" fontId="0" fillId="12" borderId="0" xfId="1" applyNumberFormat="1" applyFont="1" applyFill="1" applyAlignment="1">
      <alignment horizontal="center" vertical="center"/>
    </xf>
    <xf numFmtId="0" fontId="23" fillId="0" borderId="1" xfId="0" applyFont="1" applyBorder="1" applyAlignment="1">
      <alignment horizontal="left" vertical="top" wrapText="1"/>
    </xf>
    <xf numFmtId="14" fontId="23" fillId="12" borderId="0" xfId="0" applyNumberFormat="1" applyFont="1" applyFill="1" applyAlignment="1">
      <alignment horizontal="center" vertical="center"/>
    </xf>
    <xf numFmtId="10" fontId="8" fillId="12" borderId="0" xfId="0" applyNumberFormat="1" applyFont="1" applyFill="1" applyAlignment="1">
      <alignment horizontal="center" vertical="center"/>
    </xf>
    <xf numFmtId="0" fontId="23" fillId="12" borderId="0" xfId="0" applyFont="1" applyFill="1" applyAlignment="1">
      <alignment horizontal="center" vertical="center" wrapText="1"/>
    </xf>
    <xf numFmtId="3" fontId="23" fillId="12" borderId="0" xfId="0" applyNumberFormat="1" applyFont="1" applyFill="1" applyAlignment="1">
      <alignment horizontal="center" vertical="center"/>
    </xf>
    <xf numFmtId="1" fontId="0" fillId="12" borderId="0" xfId="0" applyNumberFormat="1" applyFill="1" applyAlignment="1">
      <alignment horizontal="center" vertical="center"/>
    </xf>
    <xf numFmtId="0" fontId="34" fillId="7" borderId="2" xfId="0" applyFont="1" applyFill="1" applyBorder="1" applyAlignment="1">
      <alignment horizontal="center" vertical="center" wrapText="1"/>
    </xf>
    <xf numFmtId="0" fontId="35" fillId="0" borderId="1" xfId="0" applyFont="1" applyBorder="1" applyAlignment="1">
      <alignment horizontal="left" vertical="top" wrapText="1"/>
    </xf>
    <xf numFmtId="0" fontId="8" fillId="6" borderId="0" xfId="0" applyFont="1" applyFill="1" applyAlignment="1">
      <alignment horizontal="center" vertical="center"/>
    </xf>
    <xf numFmtId="0" fontId="38" fillId="0" borderId="1" xfId="0" applyFont="1" applyBorder="1" applyAlignment="1">
      <alignment horizontal="left" vertical="top" wrapText="1"/>
    </xf>
    <xf numFmtId="0" fontId="39" fillId="0" borderId="0" xfId="0" applyFont="1" applyAlignment="1">
      <alignment horizontal="center" vertical="center"/>
    </xf>
    <xf numFmtId="14" fontId="39" fillId="12" borderId="0" xfId="0" applyNumberFormat="1" applyFont="1" applyFill="1" applyAlignment="1">
      <alignment horizontal="center" vertical="center"/>
    </xf>
    <xf numFmtId="0" fontId="39" fillId="12" borderId="0" xfId="0" applyFont="1" applyFill="1" applyAlignment="1">
      <alignment horizontal="center" vertical="center"/>
    </xf>
    <xf numFmtId="16" fontId="0" fillId="0" borderId="0" xfId="0" applyNumberFormat="1"/>
    <xf numFmtId="0" fontId="32" fillId="12" borderId="0" xfId="0" applyFont="1" applyFill="1" applyAlignment="1">
      <alignment horizontal="center" vertical="center" wrapText="1"/>
    </xf>
    <xf numFmtId="10" fontId="32" fillId="0" borderId="0" xfId="0" applyNumberFormat="1" applyFont="1" applyAlignment="1">
      <alignment horizontal="center" vertical="center" wrapText="1"/>
    </xf>
    <xf numFmtId="0" fontId="34" fillId="0" borderId="0" xfId="0" applyFont="1" applyAlignment="1">
      <alignment horizontal="center" vertical="center"/>
    </xf>
    <xf numFmtId="0" fontId="4" fillId="4" borderId="1" xfId="0" applyFont="1" applyFill="1" applyBorder="1" applyAlignment="1">
      <alignment horizontal="center" vertical="center" wrapText="1"/>
    </xf>
    <xf numFmtId="0" fontId="3" fillId="8" borderId="1" xfId="0" applyFont="1" applyFill="1" applyBorder="1" applyAlignment="1">
      <alignment horizontal="center" vertical="center"/>
    </xf>
    <xf numFmtId="0" fontId="21" fillId="12" borderId="0" xfId="0" applyFont="1" applyFill="1" applyAlignment="1">
      <alignment horizontal="center" vertical="center" wrapText="1"/>
    </xf>
    <xf numFmtId="0" fontId="8" fillId="0" borderId="0" xfId="0" applyFont="1"/>
    <xf numFmtId="16" fontId="8" fillId="0" borderId="0" xfId="0" applyNumberFormat="1" applyFont="1"/>
    <xf numFmtId="0" fontId="8" fillId="0" borderId="1" xfId="0" applyFont="1" applyBorder="1" applyAlignment="1">
      <alignment horizontal="center" vertical="center"/>
    </xf>
    <xf numFmtId="0" fontId="19" fillId="15" borderId="1" xfId="0" applyFont="1" applyFill="1" applyBorder="1" applyAlignment="1">
      <alignment horizontal="center" vertical="center" wrapText="1"/>
    </xf>
    <xf numFmtId="0" fontId="0" fillId="0" borderId="2" xfId="0" applyBorder="1" applyAlignment="1">
      <alignment horizontal="center" vertical="center" wrapText="1"/>
    </xf>
    <xf numFmtId="0" fontId="19" fillId="15" borderId="1" xfId="0" applyFont="1" applyFill="1" applyBorder="1" applyAlignment="1">
      <alignment horizontal="center" vertical="center"/>
    </xf>
    <xf numFmtId="0" fontId="0" fillId="0" borderId="5" xfId="0" applyBorder="1" applyAlignment="1">
      <alignment horizontal="center" vertical="center"/>
    </xf>
    <xf numFmtId="0" fontId="8" fillId="0" borderId="5" xfId="0" applyFont="1" applyBorder="1" applyAlignment="1">
      <alignment horizontal="center" vertical="center"/>
    </xf>
    <xf numFmtId="0" fontId="0" fillId="0" borderId="11" xfId="0" applyBorder="1" applyAlignment="1">
      <alignment horizontal="center" vertical="center" wrapText="1"/>
    </xf>
    <xf numFmtId="0" fontId="0" fillId="12" borderId="0" xfId="0" applyFill="1" applyAlignment="1">
      <alignment horizontal="center" vertical="top"/>
    </xf>
    <xf numFmtId="165" fontId="0" fillId="12" borderId="0" xfId="0" applyNumberFormat="1" applyFill="1" applyAlignment="1">
      <alignment horizontal="center" vertical="center"/>
    </xf>
    <xf numFmtId="165" fontId="23" fillId="12" borderId="0" xfId="0" applyNumberFormat="1" applyFont="1" applyFill="1" applyAlignment="1">
      <alignment horizontal="center" vertical="center"/>
    </xf>
    <xf numFmtId="9" fontId="0" fillId="12" borderId="0" xfId="0" applyNumberFormat="1" applyFill="1" applyAlignment="1">
      <alignment horizontal="center" vertical="center"/>
    </xf>
    <xf numFmtId="0" fontId="19" fillId="15" borderId="3" xfId="0" applyFont="1" applyFill="1" applyBorder="1" applyAlignment="1">
      <alignment horizontal="center" vertical="center" wrapText="1"/>
    </xf>
    <xf numFmtId="14" fontId="6" fillId="2" borderId="1" xfId="0" applyNumberFormat="1" applyFont="1" applyFill="1" applyBorder="1" applyAlignment="1">
      <alignment horizontal="center" vertical="center" wrapText="1"/>
    </xf>
    <xf numFmtId="14" fontId="0" fillId="10" borderId="0" xfId="0" applyNumberFormat="1" applyFill="1" applyAlignment="1">
      <alignment horizontal="center" vertical="center"/>
    </xf>
    <xf numFmtId="14" fontId="3" fillId="2" borderId="1" xfId="0" applyNumberFormat="1" applyFont="1" applyFill="1" applyBorder="1" applyAlignment="1">
      <alignment horizontal="center" vertical="center" wrapText="1"/>
    </xf>
    <xf numFmtId="14" fontId="7" fillId="2" borderId="1" xfId="0" applyNumberFormat="1" applyFont="1" applyFill="1" applyBorder="1" applyAlignment="1">
      <alignment horizontal="center" vertical="center" wrapText="1"/>
    </xf>
    <xf numFmtId="0" fontId="16" fillId="5" borderId="1" xfId="0" applyFont="1" applyFill="1" applyBorder="1"/>
    <xf numFmtId="0" fontId="21" fillId="16" borderId="1" xfId="0" applyFont="1" applyFill="1" applyBorder="1"/>
    <xf numFmtId="0" fontId="0" fillId="0" borderId="0" xfId="0" applyAlignment="1">
      <alignment horizontal="center"/>
    </xf>
    <xf numFmtId="0" fontId="0" fillId="12" borderId="0" xfId="0" applyFill="1" applyAlignment="1">
      <alignment horizontal="center"/>
    </xf>
    <xf numFmtId="0" fontId="32" fillId="12" borderId="0" xfId="0" applyFont="1" applyFill="1" applyAlignment="1">
      <alignment horizontal="center" vertical="center"/>
    </xf>
    <xf numFmtId="0" fontId="44" fillId="0" borderId="0" xfId="0" applyFont="1"/>
    <xf numFmtId="165" fontId="35" fillId="12" borderId="0" xfId="0" applyNumberFormat="1" applyFont="1" applyFill="1" applyAlignment="1">
      <alignment horizontal="center" vertical="center"/>
    </xf>
    <xf numFmtId="10" fontId="31" fillId="12" borderId="0" xfId="0" applyNumberFormat="1" applyFont="1" applyFill="1" applyAlignment="1">
      <alignment horizontal="center" vertical="center"/>
    </xf>
    <xf numFmtId="0" fontId="34" fillId="12" borderId="0" xfId="0" applyFont="1" applyFill="1" applyAlignment="1">
      <alignment horizontal="center" vertical="center"/>
    </xf>
    <xf numFmtId="0" fontId="0" fillId="17" borderId="0" xfId="0" applyFill="1" applyAlignment="1">
      <alignment horizontal="center" vertical="center"/>
    </xf>
    <xf numFmtId="14" fontId="0" fillId="17" borderId="0" xfId="0" applyNumberFormat="1" applyFill="1" applyAlignment="1">
      <alignment horizontal="center" vertical="center"/>
    </xf>
    <xf numFmtId="0" fontId="8" fillId="17" borderId="0" xfId="0" applyFont="1" applyFill="1" applyAlignment="1">
      <alignment horizontal="center" vertical="center"/>
    </xf>
    <xf numFmtId="14" fontId="26" fillId="12" borderId="0" xfId="0" applyNumberFormat="1" applyFont="1" applyFill="1" applyAlignment="1">
      <alignment horizontal="center" vertical="center"/>
    </xf>
    <xf numFmtId="14" fontId="0" fillId="0" borderId="0" xfId="0" applyNumberFormat="1"/>
    <xf numFmtId="0" fontId="3" fillId="0" borderId="0" xfId="0" applyFont="1" applyAlignment="1">
      <alignment horizontal="center"/>
    </xf>
    <xf numFmtId="0" fontId="8" fillId="6" borderId="0" xfId="0" applyFont="1" applyFill="1" applyAlignment="1">
      <alignment horizontal="center"/>
    </xf>
    <xf numFmtId="0" fontId="46" fillId="7" borderId="1" xfId="0" applyFont="1" applyFill="1" applyBorder="1" applyAlignment="1">
      <alignment horizontal="center" vertical="center" wrapText="1"/>
    </xf>
    <xf numFmtId="0" fontId="26" fillId="0" borderId="0" xfId="0" applyFont="1" applyAlignment="1">
      <alignment horizontal="center"/>
    </xf>
    <xf numFmtId="0" fontId="47" fillId="12" borderId="0" xfId="0" applyFont="1" applyFill="1" applyAlignment="1">
      <alignment horizontal="center"/>
    </xf>
    <xf numFmtId="17" fontId="0" fillId="0" borderId="0" xfId="0" applyNumberFormat="1"/>
    <xf numFmtId="0" fontId="20" fillId="12" borderId="0" xfId="0" applyFont="1" applyFill="1" applyAlignment="1">
      <alignment horizontal="center" vertical="center"/>
    </xf>
    <xf numFmtId="0" fontId="23" fillId="0" borderId="2" xfId="0" applyFont="1" applyBorder="1" applyAlignment="1">
      <alignment wrapText="1"/>
    </xf>
    <xf numFmtId="0" fontId="23" fillId="0" borderId="10" xfId="0" applyFont="1" applyBorder="1" applyAlignment="1">
      <alignment wrapText="1"/>
    </xf>
    <xf numFmtId="0" fontId="21" fillId="0" borderId="2" xfId="0" applyFont="1" applyBorder="1" applyAlignment="1">
      <alignment horizontal="left" vertical="top" wrapText="1"/>
    </xf>
    <xf numFmtId="0" fontId="50" fillId="0" borderId="0" xfId="0" applyFont="1"/>
    <xf numFmtId="0" fontId="0" fillId="0" borderId="5" xfId="0" applyBorder="1" applyAlignment="1">
      <alignment horizontal="center" vertical="center" wrapText="1"/>
    </xf>
    <xf numFmtId="0" fontId="8" fillId="0" borderId="5" xfId="0" applyFont="1" applyBorder="1" applyAlignment="1">
      <alignment horizontal="center" vertical="center" wrapText="1"/>
    </xf>
    <xf numFmtId="0" fontId="0" fillId="0" borderId="0" xfId="0" applyAlignment="1">
      <alignment wrapText="1"/>
    </xf>
    <xf numFmtId="0" fontId="0" fillId="0" borderId="12" xfId="0" applyBorder="1" applyAlignment="1">
      <alignment horizontal="center" vertical="center" wrapText="1"/>
    </xf>
    <xf numFmtId="0" fontId="19" fillId="20" borderId="1" xfId="0" applyFont="1" applyFill="1" applyBorder="1" applyAlignment="1">
      <alignment horizontal="center" vertical="center"/>
    </xf>
    <xf numFmtId="0" fontId="19" fillId="20" borderId="1" xfId="0" applyFont="1" applyFill="1" applyBorder="1" applyAlignment="1">
      <alignment horizontal="center" vertical="center" wrapText="1"/>
    </xf>
    <xf numFmtId="0" fontId="19" fillId="20" borderId="3" xfId="0" applyFont="1" applyFill="1" applyBorder="1" applyAlignment="1">
      <alignment horizontal="center"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9" fontId="0" fillId="12" borderId="0" xfId="1" applyFont="1" applyFill="1" applyAlignment="1">
      <alignment horizontal="center" vertical="center"/>
    </xf>
    <xf numFmtId="0" fontId="1" fillId="0" borderId="2" xfId="0" applyFont="1" applyBorder="1" applyAlignment="1">
      <alignment horizontal="left" vertical="top" wrapText="1"/>
    </xf>
    <xf numFmtId="0" fontId="1" fillId="12" borderId="0" xfId="0" applyFont="1" applyFill="1" applyAlignment="1">
      <alignment horizontal="center" vertical="center" wrapText="1"/>
    </xf>
    <xf numFmtId="0" fontId="1" fillId="7" borderId="2"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19"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left"/>
    </xf>
    <xf numFmtId="0" fontId="23" fillId="12" borderId="0" xfId="0" applyFont="1" applyFill="1" applyAlignment="1">
      <alignment horizontal="center"/>
    </xf>
    <xf numFmtId="0" fontId="0" fillId="12" borderId="0" xfId="0" applyFill="1" applyAlignment="1">
      <alignment horizontal="center" vertical="top" wrapText="1"/>
    </xf>
    <xf numFmtId="0" fontId="42" fillId="12" borderId="0" xfId="0" applyFont="1" applyFill="1" applyAlignment="1">
      <alignment horizontal="center"/>
    </xf>
    <xf numFmtId="0" fontId="43" fillId="12" borderId="0" xfId="0" applyFont="1" applyFill="1" applyAlignment="1">
      <alignment horizontal="center"/>
    </xf>
    <xf numFmtId="0" fontId="0" fillId="0" borderId="0" xfId="0" applyAlignment="1">
      <alignment horizontal="center" vertical="top"/>
    </xf>
    <xf numFmtId="14" fontId="23" fillId="12" borderId="0" xfId="0" applyNumberFormat="1" applyFont="1" applyFill="1" applyAlignment="1">
      <alignment horizontal="center"/>
    </xf>
    <xf numFmtId="0" fontId="23" fillId="21" borderId="0" xfId="0" applyFont="1" applyFill="1" applyAlignment="1">
      <alignment horizontal="center"/>
    </xf>
    <xf numFmtId="3" fontId="23" fillId="12" borderId="0" xfId="0" applyNumberFormat="1" applyFont="1" applyFill="1" applyAlignment="1">
      <alignment horizontal="center"/>
    </xf>
    <xf numFmtId="0" fontId="8" fillId="0" borderId="0" xfId="0" applyFont="1" applyAlignment="1">
      <alignment horizontal="center"/>
    </xf>
    <xf numFmtId="10" fontId="32" fillId="0" borderId="0" xfId="0" applyNumberFormat="1" applyFont="1" applyAlignment="1">
      <alignment horizontal="center" vertical="center"/>
    </xf>
    <xf numFmtId="0" fontId="32" fillId="0" borderId="0" xfId="0" applyFont="1" applyAlignment="1">
      <alignment horizontal="center" vertical="center"/>
    </xf>
    <xf numFmtId="0" fontId="8" fillId="13" borderId="0" xfId="0" applyFont="1" applyFill="1" applyAlignment="1">
      <alignment horizontal="center" vertical="center"/>
    </xf>
    <xf numFmtId="0" fontId="3" fillId="0" borderId="0" xfId="0" applyFont="1" applyAlignment="1">
      <alignment horizontal="center" vertical="center"/>
    </xf>
    <xf numFmtId="3" fontId="0" fillId="12" borderId="13" xfId="0" applyNumberFormat="1" applyFill="1" applyBorder="1" applyAlignment="1">
      <alignment horizontal="center" vertical="center"/>
    </xf>
    <xf numFmtId="9" fontId="0" fillId="0" borderId="0" xfId="1" applyFont="1" applyBorder="1"/>
    <xf numFmtId="3" fontId="8" fillId="0" borderId="0" xfId="0" applyNumberFormat="1" applyFont="1"/>
    <xf numFmtId="3" fontId="0" fillId="0" borderId="0" xfId="0" applyNumberFormat="1" applyAlignment="1">
      <alignment horizontal="center" vertical="center"/>
    </xf>
    <xf numFmtId="3" fontId="0" fillId="0" borderId="0" xfId="0" applyNumberFormat="1" applyAlignment="1">
      <alignment horizontal="right" vertical="center"/>
    </xf>
    <xf numFmtId="0" fontId="0" fillId="0" borderId="9" xfId="0" applyBorder="1"/>
    <xf numFmtId="0" fontId="8" fillId="13" borderId="9" xfId="0" applyFont="1" applyFill="1" applyBorder="1" applyAlignment="1">
      <alignment horizontal="center" vertical="center"/>
    </xf>
    <xf numFmtId="0" fontId="8" fillId="6" borderId="9" xfId="0" applyFont="1" applyFill="1" applyBorder="1" applyAlignment="1">
      <alignment horizontal="center" vertical="center"/>
    </xf>
    <xf numFmtId="0" fontId="0" fillId="0" borderId="9" xfId="0" applyBorder="1" applyAlignment="1">
      <alignment horizontal="center" vertical="center"/>
    </xf>
    <xf numFmtId="3" fontId="0" fillId="0" borderId="9" xfId="0" applyNumberFormat="1" applyBorder="1"/>
    <xf numFmtId="9" fontId="0" fillId="0" borderId="9" xfId="1" applyFont="1" applyBorder="1"/>
    <xf numFmtId="0" fontId="8" fillId="0" borderId="9" xfId="0" applyFont="1" applyBorder="1" applyAlignment="1">
      <alignment horizontal="center" vertical="center"/>
    </xf>
    <xf numFmtId="3" fontId="8" fillId="0" borderId="9" xfId="0" applyNumberFormat="1" applyFont="1" applyBorder="1"/>
    <xf numFmtId="9" fontId="8" fillId="0" borderId="9" xfId="1" applyFont="1" applyBorder="1"/>
    <xf numFmtId="0" fontId="54" fillId="22" borderId="0" xfId="2" applyAlignment="1">
      <alignment horizontal="left" vertical="center"/>
    </xf>
    <xf numFmtId="9" fontId="0" fillId="0" borderId="0" xfId="0" applyNumberFormat="1"/>
    <xf numFmtId="0" fontId="26" fillId="12" borderId="0" xfId="0" applyFont="1" applyFill="1" applyAlignment="1">
      <alignment horizontal="center" vertical="center"/>
    </xf>
    <xf numFmtId="0" fontId="31" fillId="19" borderId="1" xfId="0" applyFont="1" applyFill="1" applyBorder="1" applyAlignment="1">
      <alignment horizontal="center" vertical="center" wrapText="1"/>
    </xf>
    <xf numFmtId="0" fontId="1" fillId="19" borderId="2" xfId="0" applyFont="1" applyFill="1" applyBorder="1" applyAlignment="1">
      <alignment horizontal="center" vertical="center" wrapText="1"/>
    </xf>
    <xf numFmtId="0" fontId="55" fillId="23" borderId="0" xfId="0" applyFont="1" applyFill="1" applyAlignment="1">
      <alignment horizontal="center"/>
    </xf>
    <xf numFmtId="0" fontId="56" fillId="24" borderId="0" xfId="0" applyFont="1" applyFill="1" applyAlignment="1">
      <alignment horizontal="center"/>
    </xf>
    <xf numFmtId="0" fontId="57" fillId="0" borderId="0" xfId="0" applyFont="1" applyAlignment="1">
      <alignment horizontal="center" vertical="center"/>
    </xf>
    <xf numFmtId="0" fontId="0" fillId="26" borderId="0" xfId="0" applyFill="1" applyAlignment="1">
      <alignment horizontal="center" vertical="center"/>
    </xf>
    <xf numFmtId="14" fontId="0" fillId="26" borderId="0" xfId="0" applyNumberFormat="1" applyFill="1" applyAlignment="1">
      <alignment horizontal="center" vertical="center"/>
    </xf>
    <xf numFmtId="14" fontId="21" fillId="26" borderId="0" xfId="0" applyNumberFormat="1" applyFont="1" applyFill="1" applyAlignment="1">
      <alignment horizontal="center" vertical="center"/>
    </xf>
    <xf numFmtId="0" fontId="8" fillId="26" borderId="0" xfId="0" applyFont="1" applyFill="1" applyAlignment="1">
      <alignment horizontal="center" vertical="center"/>
    </xf>
    <xf numFmtId="0" fontId="23" fillId="26" borderId="0" xfId="0" applyFont="1" applyFill="1" applyAlignment="1">
      <alignment horizontal="center" vertical="center"/>
    </xf>
    <xf numFmtId="0" fontId="0" fillId="26" borderId="0" xfId="0" applyFill="1" applyAlignment="1">
      <alignment horizontal="center" vertical="center" wrapText="1"/>
    </xf>
    <xf numFmtId="16" fontId="0" fillId="12" borderId="0" xfId="0" applyNumberFormat="1" applyFill="1" applyAlignment="1">
      <alignment horizontal="center" vertical="center"/>
    </xf>
    <xf numFmtId="0" fontId="3" fillId="5" borderId="0" xfId="0" applyFont="1" applyFill="1"/>
    <xf numFmtId="0" fontId="1" fillId="14" borderId="2" xfId="0" applyFont="1" applyFill="1" applyBorder="1" applyAlignment="1">
      <alignment horizontal="center" vertical="center" wrapText="1"/>
    </xf>
    <xf numFmtId="0" fontId="1" fillId="27" borderId="2" xfId="0" applyFont="1" applyFill="1" applyBorder="1" applyAlignment="1">
      <alignment horizontal="center" vertical="center" wrapText="1"/>
    </xf>
    <xf numFmtId="9" fontId="8" fillId="12" borderId="0" xfId="0" applyNumberFormat="1" applyFont="1" applyFill="1" applyAlignment="1">
      <alignment horizontal="center" vertical="center"/>
    </xf>
    <xf numFmtId="0" fontId="0" fillId="12" borderId="0" xfId="0" applyFill="1"/>
    <xf numFmtId="0" fontId="20" fillId="0" borderId="0" xfId="0" applyFont="1" applyAlignment="1">
      <alignment horizontal="center" vertical="center"/>
    </xf>
    <xf numFmtId="0" fontId="20" fillId="0" borderId="0" xfId="0" applyFont="1" applyAlignment="1">
      <alignment horizontal="center"/>
    </xf>
    <xf numFmtId="0" fontId="23" fillId="0" borderId="1" xfId="0" applyFont="1" applyBorder="1" applyAlignment="1">
      <alignment horizontal="center" vertical="center" wrapText="1"/>
    </xf>
    <xf numFmtId="0" fontId="21" fillId="0" borderId="1" xfId="0" applyFont="1" applyBorder="1" applyAlignment="1">
      <alignment horizontal="center" vertical="center"/>
    </xf>
    <xf numFmtId="0" fontId="58" fillId="12" borderId="0" xfId="0" applyFont="1" applyFill="1" applyAlignment="1">
      <alignment horizontal="center"/>
    </xf>
    <xf numFmtId="0" fontId="21" fillId="19" borderId="2" xfId="0" applyFont="1" applyFill="1" applyBorder="1" applyAlignment="1">
      <alignment horizontal="center" vertical="center" wrapText="1"/>
    </xf>
    <xf numFmtId="0" fontId="21" fillId="19" borderId="10" xfId="0" applyFont="1" applyFill="1" applyBorder="1" applyAlignment="1">
      <alignment horizontal="center" vertical="center" wrapText="1"/>
    </xf>
    <xf numFmtId="0" fontId="21" fillId="19" borderId="11" xfId="0" applyFont="1" applyFill="1" applyBorder="1" applyAlignment="1">
      <alignment horizontal="center" vertical="center" wrapText="1"/>
    </xf>
    <xf numFmtId="0" fontId="0" fillId="0" borderId="1" xfId="0" applyBorder="1" applyAlignment="1">
      <alignment horizontal="left" vertical="top" wrapText="1"/>
    </xf>
    <xf numFmtId="0" fontId="23" fillId="0" borderId="5" xfId="0" applyFont="1" applyBorder="1" applyAlignment="1">
      <alignment horizontal="left" vertical="top" wrapText="1"/>
    </xf>
    <xf numFmtId="0" fontId="0" fillId="0" borderId="0" xfId="0" applyAlignment="1">
      <alignment horizontal="left" vertical="top"/>
    </xf>
    <xf numFmtId="0" fontId="8" fillId="6" borderId="3" xfId="0" applyFont="1" applyFill="1" applyBorder="1" applyAlignment="1">
      <alignment horizontal="left" vertical="top"/>
    </xf>
    <xf numFmtId="0" fontId="21" fillId="0" borderId="1" xfId="0" applyFont="1" applyBorder="1" applyAlignment="1">
      <alignment horizontal="left" vertical="top" wrapText="1"/>
    </xf>
    <xf numFmtId="0" fontId="0" fillId="0" borderId="3" xfId="0" applyBorder="1" applyAlignment="1">
      <alignment horizontal="left" vertical="top" wrapText="1"/>
    </xf>
    <xf numFmtId="0" fontId="22" fillId="0" borderId="1" xfId="0" applyFont="1" applyBorder="1" applyAlignment="1">
      <alignment horizontal="left" vertical="top" wrapText="1"/>
    </xf>
    <xf numFmtId="0" fontId="0" fillId="0" borderId="4" xfId="0" applyBorder="1" applyAlignment="1">
      <alignment horizontal="left" vertical="top" wrapText="1"/>
    </xf>
    <xf numFmtId="0" fontId="24" fillId="0" borderId="5" xfId="0" applyFont="1" applyBorder="1" applyAlignment="1">
      <alignment horizontal="left" vertical="top" wrapText="1"/>
    </xf>
    <xf numFmtId="0" fontId="22" fillId="0" borderId="3" xfId="0" applyFont="1" applyBorder="1" applyAlignment="1">
      <alignment horizontal="left" vertical="top" wrapText="1"/>
    </xf>
    <xf numFmtId="0" fontId="23" fillId="0" borderId="3" xfId="0" applyFont="1" applyBorder="1" applyAlignment="1">
      <alignment horizontal="left" vertical="top" wrapText="1"/>
    </xf>
    <xf numFmtId="0" fontId="33" fillId="0" borderId="1" xfId="0" applyFont="1" applyBorder="1" applyAlignment="1">
      <alignment horizontal="left" vertical="top" wrapText="1"/>
    </xf>
    <xf numFmtId="0" fontId="35" fillId="0" borderId="3" xfId="0" applyFont="1" applyBorder="1" applyAlignment="1">
      <alignment horizontal="left" vertical="top" wrapText="1"/>
    </xf>
    <xf numFmtId="0" fontId="21" fillId="27" borderId="2" xfId="0" applyFont="1" applyFill="1" applyBorder="1" applyAlignment="1">
      <alignment horizontal="center" vertical="center" wrapText="1"/>
    </xf>
    <xf numFmtId="0" fontId="21" fillId="0" borderId="0" xfId="0" applyFont="1" applyAlignment="1">
      <alignment horizontal="center" vertical="center" wrapText="1"/>
    </xf>
    <xf numFmtId="0" fontId="23" fillId="25" borderId="0" xfId="0" applyFont="1" applyFill="1" applyAlignment="1">
      <alignment horizontal="center" wrapText="1"/>
    </xf>
    <xf numFmtId="0" fontId="23" fillId="25" borderId="0" xfId="0" applyFont="1" applyFill="1" applyAlignment="1">
      <alignment horizontal="center"/>
    </xf>
    <xf numFmtId="14" fontId="23" fillId="12" borderId="13" xfId="0" applyNumberFormat="1" applyFont="1" applyFill="1" applyBorder="1" applyAlignment="1">
      <alignment horizontal="center" vertical="center"/>
    </xf>
    <xf numFmtId="0" fontId="23" fillId="12" borderId="13" xfId="0" applyFont="1" applyFill="1" applyBorder="1" applyAlignment="1">
      <alignment horizontal="center" vertical="center"/>
    </xf>
    <xf numFmtId="0" fontId="23" fillId="12" borderId="13" xfId="0" applyFont="1" applyFill="1" applyBorder="1" applyAlignment="1">
      <alignment horizontal="center"/>
    </xf>
    <xf numFmtId="3" fontId="23" fillId="12" borderId="13" xfId="0" applyNumberFormat="1" applyFont="1" applyFill="1" applyBorder="1" applyAlignment="1">
      <alignment horizontal="center"/>
    </xf>
    <xf numFmtId="3" fontId="0" fillId="12" borderId="13" xfId="0" applyNumberFormat="1" applyFill="1" applyBorder="1"/>
    <xf numFmtId="9" fontId="0" fillId="12" borderId="14" xfId="1" applyFont="1" applyFill="1" applyBorder="1"/>
    <xf numFmtId="0" fontId="0" fillId="12" borderId="13" xfId="0" applyFill="1" applyBorder="1"/>
    <xf numFmtId="3" fontId="0" fillId="12" borderId="0" xfId="0" applyNumberFormat="1" applyFill="1"/>
    <xf numFmtId="9" fontId="0" fillId="12" borderId="0" xfId="1" applyFont="1" applyFill="1" applyBorder="1"/>
    <xf numFmtId="14" fontId="23" fillId="25" borderId="0" xfId="0" applyNumberFormat="1" applyFont="1" applyFill="1" applyAlignment="1">
      <alignment horizontal="center" vertical="center"/>
    </xf>
    <xf numFmtId="0" fontId="23" fillId="25" borderId="0" xfId="0" applyFont="1" applyFill="1" applyAlignment="1">
      <alignment horizontal="center" vertical="center"/>
    </xf>
    <xf numFmtId="3" fontId="23" fillId="25" borderId="0" xfId="0" applyNumberFormat="1" applyFont="1" applyFill="1" applyAlignment="1">
      <alignment horizontal="center"/>
    </xf>
    <xf numFmtId="3" fontId="0" fillId="25" borderId="0" xfId="0" applyNumberFormat="1" applyFill="1" applyAlignment="1">
      <alignment horizontal="center" vertical="center"/>
    </xf>
    <xf numFmtId="3" fontId="0" fillId="25" borderId="0" xfId="0" applyNumberFormat="1" applyFill="1"/>
    <xf numFmtId="9" fontId="0" fillId="25" borderId="0" xfId="1" applyFont="1" applyFill="1" applyBorder="1"/>
    <xf numFmtId="0" fontId="0" fillId="25" borderId="0" xfId="0" applyFill="1"/>
    <xf numFmtId="0" fontId="8" fillId="28" borderId="0" xfId="0" applyFont="1" applyFill="1" applyAlignment="1">
      <alignment horizontal="center" vertical="center"/>
    </xf>
    <xf numFmtId="0" fontId="0" fillId="25" borderId="0" xfId="0" applyFill="1" applyAlignment="1">
      <alignment horizontal="center" vertical="center" wrapText="1"/>
    </xf>
    <xf numFmtId="0" fontId="0" fillId="25" borderId="0" xfId="3" applyFont="1" applyFill="1" applyAlignment="1">
      <alignment horizontal="center"/>
    </xf>
    <xf numFmtId="0" fontId="60" fillId="12" borderId="0" xfId="0" applyFont="1" applyFill="1" applyAlignment="1">
      <alignment horizontal="center" vertical="center"/>
    </xf>
    <xf numFmtId="0" fontId="62" fillId="0" borderId="1" xfId="0" applyFont="1" applyBorder="1" applyAlignment="1">
      <alignment horizontal="left" vertical="center" wrapText="1"/>
    </xf>
    <xf numFmtId="0" fontId="64" fillId="0" borderId="0" xfId="0" applyFont="1"/>
    <xf numFmtId="0" fontId="8" fillId="0" borderId="0" xfId="0" applyFont="1" applyAlignment="1">
      <alignment vertical="top" wrapText="1"/>
    </xf>
    <xf numFmtId="0" fontId="0" fillId="12" borderId="0" xfId="0" applyFill="1" applyAlignment="1">
      <alignment vertical="top"/>
    </xf>
    <xf numFmtId="0" fontId="0" fillId="13" borderId="0" xfId="0" applyFill="1" applyAlignment="1">
      <alignment vertical="top"/>
    </xf>
    <xf numFmtId="0" fontId="31" fillId="0" borderId="0" xfId="0" applyFont="1" applyAlignment="1">
      <alignment vertical="top"/>
    </xf>
    <xf numFmtId="0" fontId="31" fillId="13" borderId="0" xfId="0" applyFont="1" applyFill="1" applyAlignment="1">
      <alignment vertical="top"/>
    </xf>
    <xf numFmtId="0" fontId="21" fillId="12" borderId="0" xfId="0" applyFont="1" applyFill="1" applyAlignment="1">
      <alignment vertical="top"/>
    </xf>
    <xf numFmtId="0" fontId="23" fillId="12" borderId="0" xfId="0" applyFont="1" applyFill="1" applyAlignment="1">
      <alignment vertical="top"/>
    </xf>
    <xf numFmtId="0" fontId="31" fillId="12" borderId="0" xfId="0" applyFont="1" applyFill="1" applyAlignment="1">
      <alignment vertical="top"/>
    </xf>
    <xf numFmtId="0" fontId="23" fillId="12" borderId="0" xfId="0" applyFont="1" applyFill="1" applyAlignment="1">
      <alignment vertical="top" wrapText="1"/>
    </xf>
    <xf numFmtId="0" fontId="0" fillId="17" borderId="0" xfId="0" applyFill="1" applyAlignment="1">
      <alignment vertical="top"/>
    </xf>
    <xf numFmtId="0" fontId="0" fillId="12" borderId="0" xfId="0" applyFill="1" applyAlignment="1">
      <alignment vertical="top" wrapText="1"/>
    </xf>
    <xf numFmtId="0" fontId="0" fillId="26" borderId="0" xfId="0" applyFill="1" applyAlignment="1">
      <alignment vertical="top"/>
    </xf>
    <xf numFmtId="0" fontId="35" fillId="0" borderId="0" xfId="0" applyFont="1" applyAlignment="1">
      <alignment vertical="top"/>
    </xf>
    <xf numFmtId="0" fontId="42" fillId="12" borderId="0" xfId="0" applyFont="1" applyFill="1" applyAlignment="1">
      <alignment vertical="top"/>
    </xf>
    <xf numFmtId="0" fontId="61" fillId="12" borderId="0" xfId="0" applyFont="1" applyFill="1" applyAlignment="1">
      <alignment vertical="top"/>
    </xf>
    <xf numFmtId="49" fontId="0" fillId="17" borderId="0" xfId="0" applyNumberFormat="1" applyFill="1" applyAlignment="1">
      <alignment horizontal="center" vertical="center"/>
    </xf>
    <xf numFmtId="49" fontId="0" fillId="0" borderId="0" xfId="0" applyNumberFormat="1" applyAlignment="1">
      <alignment horizontal="center" vertical="center"/>
    </xf>
    <xf numFmtId="14" fontId="8" fillId="0" borderId="0" xfId="0" applyNumberFormat="1" applyFont="1" applyAlignment="1">
      <alignment horizontal="center" vertical="center"/>
    </xf>
    <xf numFmtId="0" fontId="16" fillId="5" borderId="3" xfId="0" applyFont="1" applyFill="1" applyBorder="1" applyAlignment="1">
      <alignment horizontal="center"/>
    </xf>
    <xf numFmtId="0" fontId="8" fillId="25" borderId="0" xfId="0" applyFont="1" applyFill="1" applyAlignment="1">
      <alignment horizontal="center"/>
    </xf>
    <xf numFmtId="0" fontId="3" fillId="5" borderId="0" xfId="0" applyFont="1" applyFill="1" applyAlignment="1">
      <alignment horizontal="center"/>
    </xf>
    <xf numFmtId="0" fontId="8" fillId="18" borderId="0" xfId="0" applyFont="1" applyFill="1" applyAlignment="1">
      <alignment horizontal="center"/>
    </xf>
    <xf numFmtId="0" fontId="8" fillId="14" borderId="0" xfId="0" applyFont="1" applyFill="1" applyAlignment="1">
      <alignment horizontal="center"/>
    </xf>
    <xf numFmtId="0" fontId="55" fillId="12" borderId="0" xfId="0" applyFont="1" applyFill="1" applyAlignment="1">
      <alignment horizontal="center"/>
    </xf>
    <xf numFmtId="0" fontId="16" fillId="5" borderId="0" xfId="0" applyFont="1" applyFill="1" applyAlignment="1">
      <alignment horizontal="center"/>
    </xf>
  </cellXfs>
  <cellStyles count="4">
    <cellStyle name="Bad" xfId="2" builtinId="27"/>
    <cellStyle name="Hyperlink" xfId="3" builtinId="8"/>
    <cellStyle name="Normal" xfId="0" builtinId="0"/>
    <cellStyle name="Percent" xfId="1" builtinId="5"/>
  </cellStyles>
  <dxfs count="0"/>
  <tableStyles count="0" defaultTableStyle="TableStyleMedium2" defaultPivotStyle="PivotStyleMedium9"/>
  <colors>
    <mruColors>
      <color rgb="FFD6DC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ocumenttasks/documenttask1.xml><?xml version="1.0" encoding="utf-8"?>
<Tasks xmlns="http://schemas.microsoft.com/office/tasks/2019/documenttasks">
  <Task id="{4B65BF77-D0D6-4A20-AFA6-82E77C35B640}">
    <Anchor>
      <Comment id="{BC4AF260-B2AC-4B92-8C32-14ED3278B1FD}"/>
    </Anchor>
    <History>
      <Event time="2024-11-06T21:42:06.82" id="{805D94D4-4E0C-4B2E-B20C-100499DE324F}">
        <Attribution userId="S::kyle.amundson@hannaandersson.com::8f4fee93-2ded-4df0-a561-41086964f675" userName="Kyle Amundson" userProvider="AD"/>
        <Anchor>
          <Comment id="{BC4AF260-B2AC-4B92-8C32-14ED3278B1FD}"/>
        </Anchor>
        <Create/>
      </Event>
      <Event time="2024-11-06T21:42:06.82" id="{56EDA55B-FD57-4221-934A-FDC5CBA8840D}">
        <Attribution userId="S::kyle.amundson@hannaandersson.com::8f4fee93-2ded-4df0-a561-41086964f675" userName="Kyle Amundson" userProvider="AD"/>
        <Anchor>
          <Comment id="{BC4AF260-B2AC-4B92-8C32-14ED3278B1FD}"/>
        </Anchor>
        <Assign userId="S::trevor.koons@hannaandersson.com::6d30400b-c120-41fd-8109-3f542c2c3ae1" userName="Trevor Koons" userProvider="AD"/>
      </Event>
      <Event time="2024-11-06T21:42:06.82" id="{780B0F6B-0258-4906-827D-0C9DB211221C}">
        <Attribution userId="S::kyle.amundson@hannaandersson.com::8f4fee93-2ded-4df0-a561-41086964f675" userName="Kyle Amundson" userProvider="AD"/>
        <Anchor>
          <Comment id="{BC4AF260-B2AC-4B92-8C32-14ED3278B1FD}"/>
        </Anchor>
        <SetTitle title="@Trevor Koons cc: @Lisa Regelman was this approved in P&amp;P yesterday?"/>
      </Event>
      <Event time="2024-11-07T16:22:34.81" id="{ADB5E624-60B0-4B12-8B7D-54C01ED0C180}">
        <Attribution userId="S::kyle.amundson@hannaandersson.com::8f4fee93-2ded-4df0-a561-41086964f675" userName="Kyle Amundson" userProvider="AD"/>
        <Progress percentComplete="100"/>
      </Event>
    </History>
  </Task>
</Tasks>
</file>

<file path=xl/documenttasks/documenttask2.xml><?xml version="1.0" encoding="utf-8"?>
<Tasks xmlns="http://schemas.microsoft.com/office/tasks/2019/documenttasks">
  <Task id="{C5C2F998-00A0-4F20-B04D-74A7F33D7EA7}">
    <Anchor>
      <Comment id="{5F5D54A5-6BB3-4307-993E-525F9705DC29}"/>
    </Anchor>
    <History>
      <Event time="2024-01-02T18:23:17.71" id="{4219E0C8-7404-45C1-9A78-3A52167153F3}">
        <Attribution userId="S::kyle.amundson@hannaandersson.com::8f4fee93-2ded-4df0-a561-41086964f675" userName="Kyle Amundson" userProvider="AD"/>
        <Anchor>
          <Comment id="{5F5D54A5-6BB3-4307-993E-525F9705DC29}"/>
        </Anchor>
        <Create/>
      </Event>
      <Event time="2024-01-02T18:23:17.71" id="{341E323D-4552-4A09-BE3A-BEBBD8A94D53}">
        <Attribution userId="S::kyle.amundson@hannaandersson.com::8f4fee93-2ded-4df0-a561-41086964f675" userName="Kyle Amundson" userProvider="AD"/>
        <Anchor>
          <Comment id="{5F5D54A5-6BB3-4307-993E-525F9705DC29}"/>
        </Anchor>
        <Assign userId="S::holly.coombes@HannaAndersson.com::f212e543-5eef-473d-821c-55cc3d496c8f" userName="Holly Coombes" userProvider="AD"/>
      </Event>
      <Event time="2024-01-02T18:23:17.71" id="{19E7277C-8582-4D6F-8494-35C22F3CF466}">
        <Attribution userId="S::kyle.amundson@hannaandersson.com::8f4fee93-2ded-4df0-a561-41086964f675" userName="Kyle Amundson" userProvider="AD"/>
        <Anchor>
          <Comment id="{5F5D54A5-6BB3-4307-993E-525F9705DC29}"/>
        </Anchor>
        <SetTitle title="@Holly Coombes flagging that the IMC has HS ending on 1/8. cc: @Brenna Mielke for any email disclaimer updates needed"/>
      </Event>
    </History>
  </Task>
  <Task id="{21B9A8BE-2B13-4C76-8D84-39162BA62223}">
    <Anchor>
      <Comment id="{11919016-1341-4E4E-B38D-3D238B009257}"/>
    </Anchor>
    <History>
      <Event time="2024-01-04T20:56:39.73" id="{1D210863-579F-4A2B-A4AA-41CDBC4E6082}">
        <Attribution userId="S::brenna.mielke@hannaandersson.com::68ea703d-d4d3-41ee-b789-b6efc4b83739" userName="Brenna Mielke" userProvider="AD"/>
        <Anchor>
          <Comment id="{10847609-BC67-4D70-B3F6-5674EEB50386}"/>
        </Anchor>
        <Create/>
      </Event>
      <Event time="2024-01-04T20:56:39.73" id="{1713F83A-4A48-4667-9D8A-DDC582E6F43F}">
        <Attribution userId="S::brenna.mielke@hannaandersson.com::68ea703d-d4d3-41ee-b789-b6efc4b83739" userName="Brenna Mielke" userProvider="AD"/>
        <Anchor>
          <Comment id="{10847609-BC67-4D70-B3F6-5674EEB50386}"/>
        </Anchor>
        <Assign userId="S::holly.coombes@HannaAndersson.com::f212e543-5eef-473d-821c-55cc3d496c8f" userName="Holly Coombes" userProvider="AD"/>
      </Event>
      <Event time="2024-01-04T20:56:39.73" id="{90693D22-006D-4543-9F9C-E850D90EA8FC}">
        <Attribution userId="S::brenna.mielke@hannaandersson.com::68ea703d-d4d3-41ee-b789-b6efc4b83739" userName="Brenna Mielke" userProvider="AD"/>
        <Anchor>
          <Comment id="{10847609-BC67-4D70-B3F6-5674EEB50386}"/>
        </Anchor>
        <SetTitle title=" @Holly Coombes Thank you for letting us know, I've sent in the update to our coding partners."/>
      </Event>
    </History>
  </Task>
  <Task id="{B564E9E4-F7B1-4A91-872D-5692685C5562}">
    <Anchor>
      <Comment id="{6811E295-695F-4011-9D37-E8702AB5FF6A}"/>
    </Anchor>
    <History>
      <Event time="2024-01-13T00:31:33.0" id="{1A86A720-ACD6-4124-BF44-6198637356CF}">
        <Attribution userId="S::brenna.mielke@hannaandersson.com::68ea703d-d4d3-41ee-b789-b6efc4b83739" userName="Brenna Mielke" userProvider="AD"/>
        <Anchor>
          <Comment id="{6811E295-695F-4011-9D37-E8702AB5FF6A}"/>
        </Anchor>
        <Create/>
      </Event>
      <Event time="2024-01-13T00:31:33.0" id="{5147A50A-906E-4BC8-B2D2-28EB42303EFD}">
        <Attribution userId="S::brenna.mielke@hannaandersson.com::68ea703d-d4d3-41ee-b789-b6efc4b83739" userName="Brenna Mielke" userProvider="AD"/>
        <Anchor>
          <Comment id="{6811E295-695F-4011-9D37-E8702AB5FF6A}"/>
        </Anchor>
        <Assign userId="S::holly.coombes@HannaAndersson.com::f212e543-5eef-473d-821c-55cc3d496c8f" userName="Holly Coombes" userProvider="AD"/>
      </Event>
      <Event time="2024-01-13T00:31:33.0" id="{D6EF8CE0-92E0-463F-A9F3-D7015763BD6F}">
        <Attribution userId="S::brenna.mielke@hannaandersson.com::68ea703d-d4d3-41ee-b789-b6efc4b83739" userName="Brenna Mielke" userProvider="AD"/>
        <Anchor>
          <Comment id="{6811E295-695F-4011-9D37-E8702AB5FF6A}"/>
        </Anchor>
        <SetTitle title="@Holly Coombes We might want to say &quot;Pajamas&quot; instead of &quot;Sleep&quot;. Sleep isn't a customer facing term."/>
      </Event>
      <Event time="2024-01-13T00:57:33.38" id="{3B40D5F1-5ED0-4823-95E4-4AABC38F28F7}">
        <Attribution userId="S::holly.coombes@HannaAndersson.com::f212e543-5eef-473d-821c-55cc3d496c8f" userName="Holly Coombes" userProvider="AD"/>
        <Progress percentComplete="100"/>
      </Event>
    </History>
  </Task>
</Tasks>
</file>

<file path=xl/persons/person.xml><?xml version="1.0" encoding="utf-8"?>
<personList xmlns="http://schemas.microsoft.com/office/spreadsheetml/2018/threadedcomments" xmlns:x="http://schemas.openxmlformats.org/spreadsheetml/2006/main">
  <person displayName="Lily Li" id="{3A645AD6-7F38-468D-961E-7602C297BF91}" userId="lily.li@HannaAndersson.com" providerId="PeoplePicker"/>
  <person displayName="Trevor Koons" id="{6D24A139-1BE0-42DD-A8D7-67D6D696AAF6}" userId="trevor.koons@hannaandersson.com" providerId="PeoplePicker"/>
  <person displayName="Brenna Mielke" id="{A97906B9-A6BE-468D-B752-9F311304BE28}" userId="brenna.mielke@HannaAndersson.com" providerId="PeoplePicker"/>
  <person displayName="Holly Coombes" id="{A36D5460-BDDE-4423-9A44-5323FBFA7566}" userId="holly.coombes@HannaAndersson.com" providerId="PeoplePicker"/>
  <person displayName="Holly Coombes" id="{CA19BE4C-FFC1-0E44-90DE-87915C8E8485}" userId="holly.coombes@hannaandersson.com" providerId="PeoplePicker"/>
  <person displayName="Kyle Amundson" id="{BB6FC488-D170-4EEC-9845-15DFA801C732}" userId="kyle.amundson@HannaAndersson.com" providerId="PeoplePicker"/>
  <person displayName="Kyle Amundson" id="{476A7864-A8CE-E341-8FAE-8B446FB00F14}" userId="kyle.amundson@hannaandersson.com" providerId="PeoplePicker"/>
  <person displayName="Lisa Regelman" id="{B05F5F34-6839-4958-A8DE-AE24AA31AAAD}" userId="lisa.regelman@hannaandersson.com" providerId="PeoplePicker"/>
  <person displayName="Elizabeth Maron" id="{469C791A-8134-464A-978F-715CFC15BFE5}" userId="elizabeth.maron@hannaandersson.com" providerId="PeoplePicker"/>
  <person displayName="Jordan Cordiner" id="{0D67A10A-52E3-459C-B0BD-3C6B034FAA52}" userId="jordan.cordiner@hannaandersson.com" providerId="PeoplePicker"/>
  <person displayName="Martin Dieterich" id="{51B5942D-1F3E-41C6-B902-A1A81763B38E}" userId="martin.dieterich@HannaAndersson.com" providerId="PeoplePicker"/>
  <person displayName="Courtney Hageman" id="{6CC4E910-38D6-40D5-9FE5-F57C42947703}" userId="S::chageman@hannaandersson.com::bdee6af5-e348-418f-b405-158be85ef8f2" providerId="AD"/>
  <person displayName="Brenna Mielke" id="{D32844DF-4478-4845-9E7F-4846855C0D04}" userId="S::brenna.mielke@hannaandersson.com::68ea703d-d4d3-41ee-b789-b6efc4b83739" providerId="AD"/>
  <person displayName="Holly Coombes" id="{BC774331-E57F-4950-8CD5-F5BDCFBD901F}" userId="S::holly.coombes@hannaandersson.com::f212e543-5eef-473d-821c-55cc3d496c8f" providerId="AD"/>
  <person displayName="Kyle Amundson" id="{331067D4-6974-445F-85ED-7446C0E62C68}" userId="S::kyle.amundson@hannaandersson.com::8f4fee93-2ded-4df0-a561-41086964f67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E21" dT="2024-01-17T20:39:47.63" personId="{6CC4E910-38D6-40D5-9FE5-F57C42947703}" id="{04D369E9-2E15-4F02-834E-8C875CC8B85C}" done="1">
    <text xml:space="preserve">@Martin Dieterich @Lily Li apologies for the quick ask, but WKND has requested that a new coupon bank be passed through no later than this Friday (1/18). Thank you!!
cc: @Holly Coombes </text>
    <mentions>
      <mention mentionpersonId="{51B5942D-1F3E-41C6-B902-A1A81763B38E}" mentionId="{648FB1D0-4A63-4E2B-B2EE-04680C56B2B6}" startIndex="0" length="17"/>
      <mention mentionpersonId="{3A645AD6-7F38-468D-961E-7602C297BF91}" mentionId="{60786293-9DF8-4351-87DC-378DA7C697A0}" startIndex="18" length="8"/>
      <mention mentionpersonId="{A36D5460-BDDE-4423-9A44-5323FBFA7566}" mentionId="{C4C27D2F-B980-4A31-BCC1-AD3B1DFED20C}" startIndex="170" length="14"/>
    </mentions>
  </threadedComment>
  <threadedComment ref="AD165" dT="2024-05-13T23:51:24.69" personId="{BC774331-E57F-4950-8CD5-F5BDCFBD901F}" id="{A1B10CFC-8BB1-4E64-9B5B-8098E3B30DE0}">
    <text xml:space="preserve">@Jordan Cordiner disclaimer for 15FORYOU is here! </text>
    <mentions>
      <mention mentionpersonId="{0D67A10A-52E3-459C-B0BD-3C6B034FAA52}" mentionId="{838E3471-6ED6-4092-8BBA-B857584DBCC4}" startIndex="0" length="16"/>
    </mentions>
  </threadedComment>
  <threadedComment ref="AD184" dT="2024-07-15T23:55:48.18" personId="{331067D4-6974-445F-85ED-7446C0E62C68}" id="{F72F164F-9951-467E-847E-3528CB8A5B7D}">
    <text>@Holly Coombes @Elizabeth Maron just want to double check that this is NOT gated to loyalty members who are logged in - should mimic previous loyalty codes</text>
    <mentions>
      <mention mentionpersonId="{CA19BE4C-FFC1-0E44-90DE-87915C8E8485}" mentionId="{4AC8BF24-233E-4DFD-8830-4A47E44B4BD7}" startIndex="0" length="14"/>
      <mention mentionpersonId="{469C791A-8134-464A-978F-715CFC15BFE5}" mentionId="{35D30510-6126-4519-81DB-FD688FAFCAFB}" startIndex="15" length="16"/>
    </mentions>
  </threadedComment>
  <threadedComment ref="AD184" dT="2024-07-16T00:04:48.38" personId="{BC774331-E57F-4950-8CD5-F5BDCFBD901F}" id="{13903ED9-1F54-4B21-92A1-321BC74FDBC4}" parentId="{F72F164F-9951-467E-847E-3528CB8A5B7D}">
    <text xml:space="preserve">@Kyle Amundson Correct! I did NOT gate to loyalty based on the other times we have done this! </text>
    <mentions>
      <mention mentionpersonId="{476A7864-A8CE-E341-8FAE-8B446FB00F14}" mentionId="{ED2CB382-9240-4AA5-8188-1CF47CD913A6}" startIndex="0" length="14"/>
    </mentions>
  </threadedComment>
  <threadedComment ref="U192" dT="2024-07-17T00:43:18.26" personId="{331067D4-6974-445F-85ED-7446C0E62C68}" id="{4357911A-D517-4D61-9619-51291EF4564C}">
    <text xml:space="preserve">@Holly Coombes can you confirm is we are able to do mix capitalization here? Pretty sure it doesn't matter but want to confirm. IF not i can adjust to all caps
</text>
    <mentions>
      <mention mentionpersonId="{CA19BE4C-FFC1-0E44-90DE-87915C8E8485}" mentionId="{8DA5D6CD-B711-447C-95A5-92B1B7D11334}" startIndex="0" length="14"/>
    </mentions>
  </threadedComment>
  <threadedComment ref="U192" dT="2024-07-17T16:30:25.60" personId="{BC774331-E57F-4950-8CD5-F5BDCFBD901F}" id="{1632D2F0-5976-4EDE-A277-15EE24150486}" parentId="{4357911A-D517-4D61-9619-51291EF4564C}">
    <text xml:space="preserve">@Kyle Amundson in the set up process and I can have the code be case sensitive or not, so this is doable! </text>
    <mentions>
      <mention mentionpersonId="{476A7864-A8CE-E341-8FAE-8B446FB00F14}" mentionId="{D3781DA2-D98D-40A3-8025-9897FBF942E2}" startIndex="0" length="14"/>
    </mentions>
  </threadedComment>
  <threadedComment ref="U192" dT="2024-08-07T18:41:11.23" personId="{331067D4-6974-445F-85ED-7446C0E62C68}" id="{8A91947A-180C-4BC8-80C0-FF6456BF874A}" parentId="{4357911A-D517-4D61-9619-51291EF4564C}">
    <text xml:space="preserve">@Holly Coombes going to adjust so it is all caps!
</text>
    <mentions>
      <mention mentionpersonId="{CA19BE4C-FFC1-0E44-90DE-87915C8E8485}" mentionId="{414BAB18-72A4-41EA-BC2F-81413996ABB5}" startIndex="0" length="14"/>
    </mentions>
  </threadedComment>
  <threadedComment ref="AD195" dT="2024-08-23T21:03:37.72" personId="{BC774331-E57F-4950-8CD5-F5BDCFBD901F}" id="{D1E18127-31CE-4F10-BFC8-63C1BD60B025}">
    <text xml:space="preserve">@Jordan Cordiner disclaimer updated with new code! </text>
    <mentions>
      <mention mentionpersonId="{0D67A10A-52E3-459C-B0BD-3C6B034FAA52}" mentionId="{040CF245-C65F-4182-AB34-FA03EA663A60}" startIndex="0" length="16"/>
    </mentions>
  </threadedComment>
  <threadedComment ref="AD215" dT="2024-10-10T17:13:46.93" personId="{BC774331-E57F-4950-8CD5-F5BDCFBD901F}" id="{804DABA1-736A-41F5-B3F0-8BD3FCD477C6}">
    <text xml:space="preserve">@Jordan Cordiner @Kyle Amundson end date on this disclaimer has been updated here! </text>
    <mentions>
      <mention mentionpersonId="{0D67A10A-52E3-459C-B0BD-3C6B034FAA52}" mentionId="{7A8FB008-50C1-48C0-9828-59F63A249A7A}" startIndex="0" length="16"/>
      <mention mentionpersonId="{476A7864-A8CE-E341-8FAE-8B446FB00F14}" mentionId="{2517FCD5-6DB0-49CA-A7DA-C0EAF6B7DC0B}" startIndex="17" length="14"/>
    </mentions>
  </threadedComment>
  <threadedComment ref="A237" dT="2024-11-06T21:42:06.95" personId="{331067D4-6974-445F-85ED-7446C0E62C68}" id="{BC4AF260-B2AC-4B92-8C32-14ED3278B1FD}" done="1">
    <text xml:space="preserve">@Trevor Koons cc: @Lisa Regelman was this approved in P&amp;P yesterday? </text>
    <mentions>
      <mention mentionpersonId="{6D24A139-1BE0-42DD-A8D7-67D6D696AAF6}" mentionId="{56945234-BD9C-48A6-B7A4-E1612B5ACE35}" startIndex="0" length="13"/>
      <mention mentionpersonId="{B05F5F34-6839-4958-A8DE-AE24AA31AAAD}" mentionId="{FD321218-E014-4D06-A04C-7158602CB0D9}" startIndex="18" length="14"/>
    </mentions>
  </threadedComment>
  <threadedComment ref="E243" dT="2024-11-12T22:10:39.90" personId="{BC774331-E57F-4950-8CD5-F5BDCFBD901F}" id="{19AB4994-6C06-4327-BBD7-A9521560C74C}">
    <text>@Kyle Amundson just checking you meant december on these for the end date?</text>
    <mentions>
      <mention mentionpersonId="{476A7864-A8CE-E341-8FAE-8B446FB00F14}" mentionId="{43769432-2CD0-440C-9E7F-D3E8FE26D3DA}" startIndex="0" length="14"/>
    </mentions>
  </threadedComment>
  <threadedComment ref="E243" dT="2024-11-12T22:19:00.77" personId="{331067D4-6974-445F-85ED-7446C0E62C68}" id="{06A4459A-4724-402A-BFB0-22F483921BBC}" parentId="{19AB4994-6C06-4327-BBD7-A9521560C74C}">
    <text>@Holly Coombes lol yes!</text>
    <mentions>
      <mention mentionpersonId="{CA19BE4C-FFC1-0E44-90DE-87915C8E8485}" mentionId="{640413CC-8AB4-479B-8BB3-AAED89A66378}" startIndex="0" length="14"/>
    </mentions>
  </threadedComment>
  <threadedComment ref="E244" dT="2024-11-12T22:10:39.90" personId="{BC774331-E57F-4950-8CD5-F5BDCFBD901F}" id="{CA764618-61C8-441F-B352-79AB3FE04B46}">
    <text>@Kyle Amundson just checking you meant december on these for the end date?</text>
    <mentions>
      <mention mentionpersonId="{476A7864-A8CE-E341-8FAE-8B446FB00F14}" mentionId="{2ACA69BE-48ED-4261-B879-45F1D05FE59D}" startIndex="0" length="14"/>
    </mentions>
  </threadedComment>
  <threadedComment ref="E244" dT="2024-11-12T22:19:00.77" personId="{331067D4-6974-445F-85ED-7446C0E62C68}" id="{5D05B0B3-D5E9-4305-9EA4-6E4AC7CBADF1}" parentId="{CA764618-61C8-441F-B352-79AB3FE04B46}">
    <text>@Holly Coombes lol yes!</text>
    <mentions>
      <mention mentionpersonId="{CA19BE4C-FFC1-0E44-90DE-87915C8E8485}" mentionId="{C5F23E77-51FE-4A7A-96D2-79F61357D619}" startIndex="0" length="14"/>
    </mentions>
  </threadedComment>
  <threadedComment ref="E245" dT="2024-11-12T22:10:39.90" personId="{BC774331-E57F-4950-8CD5-F5BDCFBD901F}" id="{7FAFF160-47FA-48EF-B6E0-B02EEAC6B922}">
    <text>@Kyle Amundson just checking you meant december on these for the end date?</text>
    <mentions>
      <mention mentionpersonId="{476A7864-A8CE-E341-8FAE-8B446FB00F14}" mentionId="{BE30EB82-2D3E-4FC5-AF3A-AB6542F04E74}" startIndex="0" length="14"/>
    </mentions>
  </threadedComment>
  <threadedComment ref="E245" dT="2024-11-12T22:19:00.77" personId="{331067D4-6974-445F-85ED-7446C0E62C68}" id="{8D61E07B-E7F2-4A74-8082-54974B38DE88}" parentId="{7FAFF160-47FA-48EF-B6E0-B02EEAC6B922}">
    <text>@Holly Coombes lol yes!</text>
    <mentions>
      <mention mentionpersonId="{CA19BE4C-FFC1-0E44-90DE-87915C8E8485}" mentionId="{48FC7C71-031E-4756-B725-3321B04A0AE8}" startIndex="0" length="14"/>
    </mentions>
  </threadedComment>
  <threadedComment ref="AD245" dT="2024-10-10T17:13:46.93" personId="{BC774331-E57F-4950-8CD5-F5BDCFBD901F}" id="{A31A578F-7F97-407E-B062-AEC0E188DFD0}" done="1">
    <text xml:space="preserve">@Jordan Cordiner @Kyle Amundson end date on this disclaimer has been updated here! </text>
    <mentions>
      <mention mentionpersonId="{0D67A10A-52E3-459C-B0BD-3C6B034FAA52}" mentionId="{D651072D-0D51-4546-BD77-A430AB29F848}" startIndex="0" length="16"/>
      <mention mentionpersonId="{476A7864-A8CE-E341-8FAE-8B446FB00F14}" mentionId="{BAB05A2A-6D1C-4330-BDB6-B1DD20A5E8FB}" startIndex="17" length="14"/>
    </mentions>
  </threadedComment>
  <threadedComment ref="AA308" dT="2025-01-17T00:47:33.36" personId="{331067D4-6974-445F-85ED-7446C0E62C68}" id="{333DD189-65A6-4654-917A-2AF870C82B08}">
    <text>@Holly Coombes for welcome i can't remember if these are currently stackable or not but new banks should mirror current set up!</text>
    <mentions>
      <mention mentionpersonId="{CA19BE4C-FFC1-0E44-90DE-87915C8E8485}" mentionId="{6C392B25-A94C-44A6-A876-F66F1D0023CE}" startIndex="0" length="14"/>
    </mentions>
  </threadedComment>
  <threadedComment ref="AA308" dT="2025-01-17T00:47:41.20" personId="{331067D4-6974-445F-85ED-7446C0E62C68}" id="{1F2B298F-4073-4DA6-9C73-99107F5A5574}" parentId="{333DD189-65A6-4654-917A-2AF870C82B08}">
    <text>same for exclsuions!</text>
  </threadedComment>
  <threadedComment ref="P327" dT="2025-04-01T15:57:01.59" personId="{331067D4-6974-445F-85ED-7446C0E62C68}" id="{27225613-EFF1-4FED-B0EB-E7E914B127B0}" done="1">
    <text xml:space="preserve">Same parameters as previous SMS evergreen code bank
</text>
  </threadedComment>
  <threadedComment ref="P327" dT="2025-04-01T15:57:24.05" personId="{331067D4-6974-445F-85ED-7446C0E62C68}" id="{468E938B-985C-4B32-9751-E430CB99C2C5}" parentId="{27225613-EFF1-4FED-B0EB-E7E914B127B0}">
    <text>This will be used for testing now and then used once go live</text>
  </threadedComment>
  <threadedComment ref="C362" dT="2025-10-10T23:05:37.59" personId="{331067D4-6974-445F-85ED-7446C0E62C68}" id="{2BEFDA5D-DD08-4CFE-844C-A9A43F141141}">
    <text xml:space="preserve">I believe Trevor already took this to P+P for approval but formally requesting the code now
</text>
  </threadedComment>
  <threadedComment ref="C363" dT="2025-10-10T23:05:37.59" personId="{331067D4-6974-445F-85ED-7446C0E62C68}" id="{5248CB47-5DCF-4B3D-854D-A61597212194}">
    <text xml:space="preserve">I believe Trevor already took this to P+P for approval but formally requesting the code now
</text>
  </threadedComment>
  <threadedComment ref="C370" dT="2025-11-03T16:55:18.58" personId="{331067D4-6974-445F-85ED-7446C0E62C68}" id="{F57C481A-26AE-49CD-BD2C-9D993D3720B2}">
    <text xml:space="preserve">this was approved in P+P already
</text>
  </threadedComment>
  <threadedComment ref="C371" dT="2025-11-03T16:55:18.58" personId="{331067D4-6974-445F-85ED-7446C0E62C68}" id="{45021F06-956C-4117-A85B-884AE0D4C459}">
    <text xml:space="preserve">this was approved in P+P already
</text>
  </threadedComment>
  <threadedComment ref="D406" dT="2026-01-23T18:49:18.55" personId="{331067D4-6974-445F-85ED-7446C0E62C68}" id="{6E8BF434-AB2D-4E66-846A-582254A30CEB}">
    <text xml:space="preserve">Exact campaign start date TBC. Will follow up if dates need adjusting!
</text>
  </threadedComment>
</ThreadedComments>
</file>

<file path=xl/threadedComments/threadedComment2.xml><?xml version="1.0" encoding="utf-8"?>
<ThreadedComments xmlns="http://schemas.microsoft.com/office/spreadsheetml/2018/threadedcomments" xmlns:x="http://schemas.openxmlformats.org/spreadsheetml/2006/main">
  <threadedComment ref="D48" dT="2024-01-02T18:23:13.48" personId="{331067D4-6974-445F-85ED-7446C0E62C68}" id="{5F5D54A5-6BB3-4307-993E-525F9705DC29}">
    <text>@Holly Coombes flagging that the IMC has HS ending on 1/8 but this disclaimer has it as 1/9
cc: @Brenna Mielke for any email disclaimer updates needed</text>
    <mentions>
      <mention mentionpersonId="{A36D5460-BDDE-4423-9A44-5323FBFA7566}" mentionId="{0D4E0309-96DE-49F0-91D0-43AAF558E87A}" startIndex="0" length="14"/>
      <mention mentionpersonId="{A97906B9-A6BE-468D-B752-9F311304BE28}" mentionId="{9D9AD56D-3942-448F-91F7-D9BC03D5AEE4}" startIndex="96" length="14"/>
    </mentions>
  </threadedComment>
  <threadedComment ref="C50" dT="2024-01-08T19:06:54.51" personId="{331067D4-6974-445F-85ED-7446C0E62C68}" id="{9805146D-F913-406E-909F-4FC2FFE37435}">
    <text>@Holly Coombes have the dates changed on this? The IMC is showing this running through 1/15?</text>
    <mentions>
      <mention mentionpersonId="{A36D5460-BDDE-4423-9A44-5323FBFA7566}" mentionId="{4B357108-5DC0-4D06-9B2D-227965DBA697}" startIndex="0" length="14"/>
    </mentions>
  </threadedComment>
  <threadedComment ref="C50" dT="2024-01-09T00:23:32.22" personId="{BC774331-E57F-4950-8CD5-F5BDCFBD901F}" id="{1ADD18B8-DC48-46A9-92D2-3C463595E0C2}" parentId="{9805146D-F913-406E-909F-4FC2FFE37435}">
    <text xml:space="preserve">@Kyle Amundson IMC might have changed since I last updated this a while back, but yes 1/15 looks correct to me too and is now updated here! </text>
    <mentions>
      <mention mentionpersonId="{BB6FC488-D170-4EEC-9845-15DFA801C732}" mentionId="{F71F5503-B293-4FFD-8AC2-D70FFAF01457}" startIndex="0" length="14"/>
    </mentions>
  </threadedComment>
  <threadedComment ref="D51" dT="2024-01-04T20:21:01.39" personId="{BC774331-E57F-4950-8CD5-F5BDCFBD901F}" id="{11919016-1341-4E4E-B38D-3D238B009257}">
    <text xml:space="preserve">@Brenna Mielke @Kyle Amundson Dina and team decided to exclude Baby Bundles for this promo, so I have added that verbiage to the disclaimer! </text>
    <mentions>
      <mention mentionpersonId="{A97906B9-A6BE-468D-B752-9F311304BE28}" mentionId="{108129E9-FE03-4BB6-9AB5-A573587D9E92}" startIndex="0" length="14"/>
      <mention mentionpersonId="{BB6FC488-D170-4EEC-9845-15DFA801C732}" mentionId="{E5455477-1EA4-4BB5-B479-2E144C021D32}" startIndex="15" length="14"/>
    </mentions>
  </threadedComment>
  <threadedComment ref="D51" dT="2024-01-04T20:56:39.82" personId="{D32844DF-4478-4845-9E7F-4846855C0D04}" id="{10847609-BC67-4D70-B3F6-5674EEB50386}" parentId="{11919016-1341-4E4E-B38D-3D238B009257}">
    <text xml:space="preserve">
@Holly Coombes Thank you for letting us know, I've sent in the update to our coding partners. </text>
    <mentions>
      <mention mentionpersonId="{A36D5460-BDDE-4423-9A44-5323FBFA7566}" mentionId="{9A3B1491-1365-4828-8040-9B8C6B588A24}" startIndex="1" length="14"/>
    </mentions>
  </threadedComment>
  <threadedComment ref="D52" dT="2024-01-10T17:13:02.98" personId="{BC774331-E57F-4950-8CD5-F5BDCFBD901F}" id="{843A802B-0A7D-4065-AB8F-E4D5724D669A}">
    <text>Hi @Kyle Amundson @Brenna Mielke I have taken out the part about codes in the line that starts with 'not valid with other offers' per Angela's call out yesterday. I made this update to D52, D53, and D54!</text>
    <mentions>
      <mention mentionpersonId="{BB6FC488-D170-4EEC-9845-15DFA801C732}" mentionId="{19A544C4-2A57-4820-B688-FFFAA2E14C79}" startIndex="3" length="14"/>
      <mention mentionpersonId="{A97906B9-A6BE-468D-B752-9F311304BE28}" mentionId="{432AFF33-8E5B-4EEC-919D-F6B6AD7F275C}" startIndex="18" length="14"/>
    </mentions>
  </threadedComment>
  <threadedComment ref="C55" dT="2024-01-13T00:31:33.13" personId="{D32844DF-4478-4845-9E7F-4846855C0D04}" id="{6811E295-695F-4011-9D37-E8702AB5FF6A}" done="1">
    <text xml:space="preserve">@Holly Coombes We might want to say "Pajamas" instead of "Sleep". Sleep isn't a customer facing term. </text>
    <mentions>
      <mention mentionpersonId="{A36D5460-BDDE-4423-9A44-5323FBFA7566}" mentionId="{3E5AD16C-ABA2-4DE9-A206-1C3426CD576B}" startIndex="0" length="14"/>
    </mentions>
  </threadedComment>
  <threadedComment ref="D60" dT="2024-02-05T23:48:11.44" personId="{BC774331-E57F-4950-8CD5-F5BDCFBD901F}" id="{ECBE50E7-15BE-41BF-8D2B-D9A993237E51}">
    <text>@Kyle Amundson @Brenna Woodruff I edited this to add in the line 'one use per customer'</text>
    <mentions>
      <mention mentionpersonId="{BB6FC488-D170-4EEC-9845-15DFA801C732}" mentionId="{D33C16D9-4E65-4A98-9C4C-12D6DA876C2A}" startIndex="0" length="14"/>
      <mention mentionpersonId="{A97906B9-A6BE-468D-B752-9F311304BE28}" mentionId="{A0A5F7CC-0B01-48A9-933C-F5B9D820EF03}" startIndex="15" length="16"/>
    </mentions>
  </threadedComment>
  <threadedComment ref="D60" dT="2024-02-07T01:24:06.23" personId="{BC774331-E57F-4950-8CD5-F5BDCFBD901F}" id="{CFFD6642-71FD-49EC-B0C4-F85B0B93D171}" parentId="{ECBE50E7-15BE-41BF-8D2B-D9A993237E51}">
    <text xml:space="preserve">Sorry @Brenna Woodruff @Kyle Amundson i've updated this one more time based on some feedback we got today from slt </text>
    <mentions>
      <mention mentionpersonId="{A97906B9-A6BE-468D-B752-9F311304BE28}" mentionId="{C14879EA-4CE4-4529-9F63-7B8992549AFE}" startIndex="6" length="16"/>
      <mention mentionpersonId="{BB6FC488-D170-4EEC-9845-15DFA801C732}" mentionId="{AE3DBAF2-C047-4F54-8249-CF050F343A67}" startIndex="23" length="14"/>
    </mentions>
  </threadedComment>
  <threadedComment ref="D67" dT="2024-02-23T23:05:25.27" personId="{BC774331-E57F-4950-8CD5-F5BDCFBD901F}" id="{FAFF5492-F58C-4161-B9CD-4F645373A7B1}">
    <text xml:space="preserve">Hi @Kyle Amundson @Jordan Cordiner disclaimers are all up to date here! </text>
    <mentions>
      <mention mentionpersonId="{BB6FC488-D170-4EEC-9845-15DFA801C732}" mentionId="{B27C2FF1-5A37-4328-BCAC-0BDC30FAD319}" startIndex="3" length="14"/>
      <mention mentionpersonId="{0D67A10A-52E3-459C-B0BD-3C6B034FAA52}" mentionId="{C0F89A13-6280-472E-A750-31B3A90A3C7C}" startIndex="18" length="16"/>
    </mentions>
  </threadedComment>
  <threadedComment ref="D67" dT="2024-03-06T23:19:25.10" personId="{BC774331-E57F-4950-8CD5-F5BDCFBD901F}" id="{5B5EFA10-0558-49A1-898E-50E8808F046E}" parentId="{FAFF5492-F58C-4161-B9CD-4F645373A7B1}">
    <text>@Kyle Amundson @Jordan Cordiner end date has been updated on this disclaimer as well!</text>
    <mentions>
      <mention mentionpersonId="{BB6FC488-D170-4EEC-9845-15DFA801C732}" mentionId="{F370CE99-4BEF-49E3-B375-B4B77A55F0C6}" startIndex="0" length="14"/>
      <mention mentionpersonId="{0D67A10A-52E3-459C-B0BD-3C6B034FAA52}" mentionId="{4467FF44-6009-4482-B62A-BE9EF9805A77}" startIndex="15" length="16"/>
    </mentions>
  </threadedComment>
  <threadedComment ref="D68" dT="2024-03-01T20:09:11.03" personId="{BC774331-E57F-4950-8CD5-F5BDCFBD901F}" id="{2692D7E5-5685-4DB9-875F-080B0DFB2725}">
    <text>@Kyle Amundson @Jordan Cordiner with today's changes I've updated the end date of this promo</text>
    <mentions>
      <mention mentionpersonId="{BB6FC488-D170-4EEC-9845-15DFA801C732}" mentionId="{BC06718B-D8B3-480B-A86D-568AE006FCB1}" startIndex="0" length="14"/>
      <mention mentionpersonId="{0D67A10A-52E3-459C-B0BD-3C6B034FAA52}" mentionId="{1A12C024-CB73-4B18-9776-D8169694C6C9}" startIndex="15" length="16"/>
    </mentions>
  </threadedComment>
  <threadedComment ref="D69" dT="2024-03-14T19:44:38.56" personId="{BC774331-E57F-4950-8CD5-F5BDCFBD901F}" id="{83E09F34-BEA8-4FDE-94EF-A68F0AB4D348}">
    <text>@Jordan Cordiner @Kyle Amundson end date for Dresses promo updated in the disclaimer!</text>
    <mentions>
      <mention mentionpersonId="{0D67A10A-52E3-459C-B0BD-3C6B034FAA52}" mentionId="{485F6833-9D48-4756-97A4-EE322E0289F6}" startIndex="0" length="16"/>
      <mention mentionpersonId="{BB6FC488-D170-4EEC-9845-15DFA801C732}" mentionId="{09733DB0-2814-4214-B6AA-7EEABBEB911C}" startIndex="17" length="14"/>
    </mentions>
  </threadedComment>
  <threadedComment ref="D70" dT="2024-03-06T23:18:45.35" personId="{BC774331-E57F-4950-8CD5-F5BDCFBD901F}" id="{3E7EEB2E-1EA1-4B8B-9022-0EAE31166557}">
    <text>@Kyle Amundson @Jordan Cordiner end date has been updated on this disclaimer</text>
    <mentions>
      <mention mentionpersonId="{BB6FC488-D170-4EEC-9845-15DFA801C732}" mentionId="{F1FE8CE6-DC00-4EB9-977E-7AEF4B7688B1}" startIndex="0" length="14"/>
      <mention mentionpersonId="{0D67A10A-52E3-459C-B0BD-3C6B034FAA52}" mentionId="{DA5B687C-94A2-43FF-9763-EFD8DEDADB97}" startIndex="15" length="16"/>
    </mentions>
  </threadedComment>
  <threadedComment ref="D71" dT="2024-03-06T23:18:17.97" personId="{BC774331-E57F-4950-8CD5-F5BDCFBD901F}" id="{4BA0D0C6-0E64-4ECC-A1BD-09866C464616}">
    <text xml:space="preserve">@Kyle Amundson @Jordan Cordiner New disclaimer for 25% off sale here! </text>
    <mentions>
      <mention mentionpersonId="{BB6FC488-D170-4EEC-9845-15DFA801C732}" mentionId="{10E6354C-5DC0-4258-8FC4-AE660131807E}" startIndex="0" length="14"/>
      <mention mentionpersonId="{0D67A10A-52E3-459C-B0BD-3C6B034FAA52}" mentionId="{BB634405-F705-4672-BE30-45B5942443A4}" startIndex="15" length="16"/>
    </mentions>
  </threadedComment>
  <threadedComment ref="D72" dT="2024-03-14T19:45:09.65" personId="{BC774331-E57F-4950-8CD5-F5BDCFBD901F}" id="{8699F618-7524-4EFC-B4F4-4C5423ACA78A}">
    <text xml:space="preserve">@Jordan Cordiner @Kyle Amundson Added 30% off contingency disclaimer here! </text>
    <mentions>
      <mention mentionpersonId="{0D67A10A-52E3-459C-B0BD-3C6B034FAA52}" mentionId="{F158F384-7CC9-47EE-9BFD-64E2062564A3}" startIndex="0" length="16"/>
      <mention mentionpersonId="{BB6FC488-D170-4EEC-9845-15DFA801C732}" mentionId="{0C061DB8-C31E-417E-B9CD-82D92FC809D4}" startIndex="17" length="14"/>
    </mentions>
  </threadedComment>
  <threadedComment ref="D75" dT="2024-03-27T17:02:03.24" personId="{BC774331-E57F-4950-8CD5-F5BDCFBD901F}" id="{EF2DA8E4-6641-49F3-8C41-605FD8A811B4}">
    <text xml:space="preserve">@Jordan Cordiner this disclaimer has been updated! </text>
    <mentions>
      <mention mentionpersonId="{0D67A10A-52E3-459C-B0BD-3C6B034FAA52}" mentionId="{81BCC648-B49A-48AC-818D-7BC6534A42D7}" startIndex="0" length="16"/>
    </mentions>
  </threadedComment>
  <threadedComment ref="D75" dT="2024-03-29T19:13:52.29" personId="{BC774331-E57F-4950-8CD5-F5BDCFBD901F}" id="{3C5953C6-93F8-4257-971A-DC903180A0D9}" parentId="{EF2DA8E4-6641-49F3-8C41-605FD8A811B4}">
    <text xml:space="preserve">@Jordan Cordiner added in a line about Bluey in this disclaimer! </text>
    <mentions>
      <mention mentionpersonId="{0D67A10A-52E3-459C-B0BD-3C6B034FAA52}" mentionId="{A695A40C-D593-4924-AAEC-436FAB64AA51}" startIndex="0" length="16"/>
    </mentions>
  </threadedComment>
  <threadedComment ref="D83" dT="2024-04-11T21:01:50.67" personId="{BC774331-E57F-4950-8CD5-F5BDCFBD901F}" id="{A6EE9C8B-FBA2-4D1E-AEE7-451F2AE02C3A}">
    <text xml:space="preserve">@Kyle Amundson @Jordan Cordiner new disclaimer here for the add on of '50% off spring must haves' </text>
    <mentions>
      <mention mentionpersonId="{BB6FC488-D170-4EEC-9845-15DFA801C732}" mentionId="{AAD7B137-5F64-49EA-BE81-BBC4E0E32FF8}" startIndex="0" length="14"/>
      <mention mentionpersonId="{0D67A10A-52E3-459C-B0BD-3C6B034FAA52}" mentionId="{7FCCC155-24AE-4BE8-BC10-E0E172C67706}" startIndex="15" length="16"/>
    </mentions>
  </threadedComment>
  <threadedComment ref="D90" dT="2024-04-23T22:46:00.57" personId="{BC774331-E57F-4950-8CD5-F5BDCFBD901F}" id="{F1CA84DF-9BB4-4A61-8E90-05DC1503CAB4}">
    <text>@Jordan Cordiner hi, i updated this hannasoft disclaimer to note that bundles will be excluded</text>
    <mentions>
      <mention mentionpersonId="{0D67A10A-52E3-459C-B0BD-3C6B034FAA52}" mentionId="{923DECDA-F178-4439-9EDD-FF20A45111D7}" startIndex="0" length="16"/>
    </mentions>
  </threadedComment>
  <threadedComment ref="D94" dT="2024-05-03T23:08:53.24" personId="{BC774331-E57F-4950-8CD5-F5BDCFBD901F}" id="{9C39A3B3-F3F9-4F0F-A11A-541DAD756F9B}">
    <text xml:space="preserve">@Jordan Cordiner Week 15 disclaimers are all here! </text>
    <mentions>
      <mention mentionpersonId="{0D67A10A-52E3-459C-B0BD-3C6B034FAA52}" mentionId="{0EF74CE4-3546-453B-8CAB-2A6C913F4719}" startIndex="0" length="16"/>
    </mentions>
  </threadedComment>
  <threadedComment ref="D99" dT="2024-05-10T22:48:18.56" personId="{BC774331-E57F-4950-8CD5-F5BDCFBD901F}" id="{8426937F-7FBD-4F49-A691-86D3415648A5}">
    <text xml:space="preserve">@Jordan Cordiner hey! sale on sale code disclaimer has been updated here! </text>
    <mentions>
      <mention mentionpersonId="{0D67A10A-52E3-459C-B0BD-3C6B034FAA52}" mentionId="{7F7E4E75-7770-4FD6-94A5-422BC9AA8315}" startIndex="0" length="16"/>
    </mentions>
  </threadedComment>
  <threadedComment ref="D124" dT="2024-07-30T21:05:04.22" personId="{BC774331-E57F-4950-8CD5-F5BDCFBD901F}" id="{4DD40C2E-5491-4562-B252-13CAA264A551}">
    <text>@Jordan Cordiner disclaimer updated from 30% to 40% per the change yesterday!</text>
    <mentions>
      <mention mentionpersonId="{0D67A10A-52E3-459C-B0BD-3C6B034FAA52}" mentionId="{BE6290CD-ADB5-4B84-AD97-BF43DCC672A2}" startIndex="0" length="16"/>
    </mentions>
  </threadedComment>
  <threadedComment ref="D143" dT="2024-10-01T22:05:48.67" personId="{BC774331-E57F-4950-8CD5-F5BDCFBD901F}" id="{C5901BE0-CAB6-4D37-A9A4-21C1F47A5630}">
    <text xml:space="preserve">@Jordan Cordiner this had an end date of 10/7 but just updated it the correct 10/6 end date! </text>
    <mentions>
      <mention mentionpersonId="{0D67A10A-52E3-459C-B0BD-3C6B034FAA52}" mentionId="{6007524A-33E9-490E-80FE-BCC4FD3EE065}" startIndex="0" length="16"/>
    </mentions>
  </threadedComment>
  <threadedComment ref="D160" dT="2024-11-14T00:06:34.59" personId="{BC774331-E57F-4950-8CD5-F5BDCFBD901F}" id="{4E0F5B3E-FC40-402A-8BE4-2B35C42BDFA8}">
    <text>@Jordan Cordiner here is the black friday disclaimer!</text>
    <mentions>
      <mention mentionpersonId="{0D67A10A-52E3-459C-B0BD-3C6B034FAA52}" mentionId="{BA76C7BE-5E78-4E9E-BCCA-E414728C2514}" startIndex="0" length="16"/>
    </mentions>
  </threadedComment>
  <threadedComment ref="D175" dT="2024-12-18T18:43:23.61" personId="{BC774331-E57F-4950-8CD5-F5BDCFBD901F}" id="{41955B98-771A-482E-8DB4-82605190851F}">
    <text xml:space="preserve">@Jordan Cordiner @Kyle Amundson confirmed that clearance WILL be eligible with this code so disclaimer has been updated accordingly! </text>
    <mentions>
      <mention mentionpersonId="{0D67A10A-52E3-459C-B0BD-3C6B034FAA52}" mentionId="{1F901AC1-F848-49F4-AFCA-CBF390A0681D}" startIndex="0" length="16"/>
      <mention mentionpersonId="{476A7864-A8CE-E341-8FAE-8B446FB00F14}" mentionId="{8EFC7F53-BBF1-406C-A2F3-29F3B76DE534}" startIndex="17" length="14"/>
    </mentions>
  </threadedComment>
  <threadedComment ref="D211" dT="2025-04-02T21:02:37.72" personId="{BC774331-E57F-4950-8CD5-F5BDCFBD901F}" id="{BFB9809A-2123-4B9B-AEB5-B80B9A26A4C7}">
    <text>@Jordan Cordiner sorry the last minute update, but I added a line to this TREAT20 disclaimer about it being excluded for international. Thank you!</text>
    <mentions>
      <mention mentionpersonId="{0D67A10A-52E3-459C-B0BD-3C6B034FAA52}" mentionId="{53BBF8CC-246A-4E68-BA9B-15B981C04AB4}" startIndex="0" length="16"/>
    </mentions>
  </threadedComment>
  <threadedComment ref="D214" dT="2025-04-11T22:36:02.30" personId="{BC774331-E57F-4950-8CD5-F5BDCFBD901F}" id="{391062F5-5321-46F0-B3EB-AF5048337ACE}">
    <text xml:space="preserve">@Jordan Cordiner hi, had to revise this disclaimer a bit to include 'exclusions apply'! </text>
    <mentions>
      <mention mentionpersonId="{0D67A10A-52E3-459C-B0BD-3C6B034FAA52}" mentionId="{E8873A20-B845-4F88-AA90-E41CB953F712}" startIndex="0" length="16"/>
    </mentions>
  </threadedComment>
  <threadedComment ref="D258" dT="2025-07-24T23:25:39.91" personId="{BC774331-E57F-4950-8CD5-F5BDCFBD901F}" id="{C2E69DF7-1F86-4333-804D-5CF2C179C3A7}">
    <text>@Jordan Cordiner @Kyle Amundson hi, I added in a secondary disclaimer for NEW20 that calls out that it's for Hanna Rewards members only if you need it anywhere on your end!</text>
    <mentions>
      <mention mentionpersonId="{0D67A10A-52E3-459C-B0BD-3C6B034FAA52}" mentionId="{93328A9B-4EE0-47CC-9CA1-B7E95F3C32C8}" startIndex="0" length="16"/>
      <mention mentionpersonId="{476A7864-A8CE-E341-8FAE-8B446FB00F14}" mentionId="{89D30FFD-AF3D-4B94-9708-7B0EB7CCE8A4}" startIndex="17" length="14"/>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1" dT="2025-05-29T22:35:56.26" personId="{BC774331-E57F-4950-8CD5-F5BDCFBD901F}" id="{5127E4CE-231B-46A6-983B-5FC60621C3C0}">
    <text xml:space="preserve">@Jordan Cordiner so sorry for the late edit, but added in a line about code being for US customers only! </text>
    <mentions>
      <mention mentionpersonId="{0D67A10A-52E3-459C-B0BD-3C6B034FAA52}" mentionId="{C0CD2021-0751-4AFC-97E4-7CCFDA8F0F7E}" startIndex="0" length="16"/>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documenttask" Target="../documenttasks/documenttask2.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hyperlink" Target="https://staging-web-hannaandersson.demandware.net/on/demandware.store/Sites-Site/default%3bsite%3dhannaandersson/ViewApplication-BM?SelectedMenuItem=marketing_coupons&amp;csrf_token=UCqpCEQGS281tm0cp88trVsbzZwA5YuLooGFK2_pfRkGy47bMBHQ69jZlQprp5QyIGd_VY7ejKYMxPFwES2RX7P9bf4FYMZYn3SydI5KSua15oHyInxaXXeOHqKwhVaTm4FgYOUt7TVgUE1hYIP2sUN35zp0SpLakQCCbWveFdvSlwzxvcw="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9" tint="0.59999389629810485"/>
  </sheetPr>
  <dimension ref="A1:AF528"/>
  <sheetViews>
    <sheetView tabSelected="1" zoomScaleNormal="80" workbookViewId="0">
      <pane ySplit="1" topLeftCell="A387" activePane="bottomLeft" state="frozen"/>
      <selection pane="bottomLeft" activeCell="F402" sqref="F391:F402"/>
    </sheetView>
  </sheetViews>
  <sheetFormatPr defaultColWidth="8.7109375" defaultRowHeight="14.45"/>
  <cols>
    <col min="1" max="1" width="31" style="28" customWidth="1"/>
    <col min="2" max="2" width="13.28515625" style="103" customWidth="1"/>
    <col min="3" max="3" width="13.28515625" style="151" customWidth="1"/>
    <col min="4" max="4" width="13.28515625" style="103" customWidth="1"/>
    <col min="5" max="5" width="16.7109375" style="103" customWidth="1"/>
    <col min="6" max="6" width="13.28515625" style="151" customWidth="1"/>
    <col min="7" max="7" width="22.42578125" style="58" customWidth="1"/>
    <col min="8" max="8" width="15.42578125" style="28" customWidth="1"/>
    <col min="9" max="9" width="13.28515625" style="28" customWidth="1"/>
    <col min="10" max="10" width="14.42578125" style="58" customWidth="1"/>
    <col min="11" max="11" width="14.28515625" style="28" customWidth="1"/>
    <col min="12" max="12" width="14.28515625" style="58" customWidth="1"/>
    <col min="13" max="13" width="14.42578125" style="58" customWidth="1"/>
    <col min="14" max="14" width="27.42578125" style="28" customWidth="1"/>
    <col min="15" max="15" width="29" style="28" bestFit="1" customWidth="1"/>
    <col min="16" max="16" width="71.7109375" style="28" customWidth="1"/>
    <col min="17" max="17" width="27.42578125" style="58" customWidth="1"/>
    <col min="18" max="18" width="19" style="58" customWidth="1"/>
    <col min="19" max="19" width="11.7109375" style="28" bestFit="1" customWidth="1"/>
    <col min="20" max="20" width="28.42578125" style="28" customWidth="1"/>
    <col min="21" max="21" width="27.140625" style="28" customWidth="1"/>
    <col min="22" max="22" width="18.28515625" style="28" customWidth="1"/>
    <col min="23" max="23" width="16.42578125" style="58" customWidth="1"/>
    <col min="24" max="25" width="15.28515625" style="58" customWidth="1"/>
    <col min="26" max="26" width="75" style="28" customWidth="1"/>
    <col min="27" max="28" width="20.28515625" style="58" customWidth="1"/>
    <col min="29" max="29" width="61.7109375" style="28" customWidth="1"/>
    <col min="30" max="30" width="139.28515625" style="200" customWidth="1"/>
    <col min="31" max="31" width="40.42578125" style="28" customWidth="1"/>
    <col min="32" max="32" width="28.42578125" style="28" customWidth="1"/>
    <col min="33" max="16384" width="8.7109375" style="28"/>
  </cols>
  <sheetData>
    <row r="1" spans="1:32" s="5" customFormat="1" ht="90.75" customHeight="1">
      <c r="A1" s="2" t="s">
        <v>0</v>
      </c>
      <c r="B1" s="150" t="s">
        <v>1</v>
      </c>
      <c r="C1" s="150" t="s">
        <v>2</v>
      </c>
      <c r="D1" s="152" t="s">
        <v>3</v>
      </c>
      <c r="E1" s="152" t="s">
        <v>4</v>
      </c>
      <c r="F1" s="153" t="s">
        <v>5</v>
      </c>
      <c r="G1" s="1" t="s">
        <v>6</v>
      </c>
      <c r="H1" s="4" t="s">
        <v>7</v>
      </c>
      <c r="I1" s="4" t="s">
        <v>8</v>
      </c>
      <c r="J1" s="4" t="s">
        <v>9</v>
      </c>
      <c r="K1" s="59" t="s">
        <v>10</v>
      </c>
      <c r="L1" s="59" t="s">
        <v>11</v>
      </c>
      <c r="M1" s="4" t="s">
        <v>12</v>
      </c>
      <c r="N1" s="60" t="s">
        <v>13</v>
      </c>
      <c r="O1" s="4" t="s">
        <v>14</v>
      </c>
      <c r="P1" s="60" t="s">
        <v>15</v>
      </c>
      <c r="Q1" s="4" t="s">
        <v>16</v>
      </c>
      <c r="R1" s="4" t="s">
        <v>17</v>
      </c>
      <c r="S1" s="4" t="s">
        <v>18</v>
      </c>
      <c r="T1" s="1" t="s">
        <v>19</v>
      </c>
      <c r="U1" s="1" t="s">
        <v>20</v>
      </c>
      <c r="V1" s="4" t="s">
        <v>21</v>
      </c>
      <c r="W1" s="1" t="s">
        <v>22</v>
      </c>
      <c r="X1" s="4" t="s">
        <v>23</v>
      </c>
      <c r="Y1" s="4" t="s">
        <v>24</v>
      </c>
      <c r="Z1" s="1" t="s">
        <v>25</v>
      </c>
      <c r="AA1" s="1" t="s">
        <v>26</v>
      </c>
      <c r="AB1" s="1" t="s">
        <v>27</v>
      </c>
      <c r="AC1" s="133" t="s">
        <v>28</v>
      </c>
      <c r="AD1" s="133" t="s">
        <v>29</v>
      </c>
      <c r="AE1" s="61" t="s">
        <v>30</v>
      </c>
      <c r="AF1" s="134" t="s">
        <v>31</v>
      </c>
    </row>
    <row r="2" spans="1:32" s="3" customFormat="1" ht="16.5" customHeight="1">
      <c r="A2" s="3" t="s">
        <v>32</v>
      </c>
      <c r="B2" s="35">
        <v>45281</v>
      </c>
      <c r="C2" s="43">
        <f>F2-7</f>
        <v>44925</v>
      </c>
      <c r="D2" s="35">
        <v>44932</v>
      </c>
      <c r="E2" s="35">
        <v>44939</v>
      </c>
      <c r="F2" s="43">
        <f>D2</f>
        <v>44932</v>
      </c>
      <c r="G2" s="43">
        <f>D2</f>
        <v>44932</v>
      </c>
      <c r="H2" s="36">
        <v>3000000</v>
      </c>
      <c r="I2" s="37">
        <v>20000</v>
      </c>
      <c r="J2" s="46">
        <f>+I2/H2</f>
        <v>6.6666666666666671E-3</v>
      </c>
      <c r="K2" s="37">
        <v>12000</v>
      </c>
      <c r="L2" s="46">
        <f>K2/H2</f>
        <v>4.0000000000000001E-3</v>
      </c>
      <c r="M2" s="41" t="s">
        <v>33</v>
      </c>
      <c r="N2" s="38" t="s">
        <v>34</v>
      </c>
      <c r="O2" s="3" t="s">
        <v>35</v>
      </c>
      <c r="P2" s="3" t="s">
        <v>36</v>
      </c>
      <c r="Q2" s="42" t="s">
        <v>37</v>
      </c>
      <c r="R2" s="43" t="s">
        <v>38</v>
      </c>
      <c r="S2" s="35"/>
      <c r="T2" s="35" t="s">
        <v>39</v>
      </c>
      <c r="U2" s="3" t="s">
        <v>40</v>
      </c>
      <c r="V2" s="3">
        <v>1</v>
      </c>
      <c r="W2" s="42" t="s">
        <v>41</v>
      </c>
      <c r="X2" s="42" t="s">
        <v>42</v>
      </c>
      <c r="Y2" s="42" t="s">
        <v>42</v>
      </c>
      <c r="Z2" s="3" t="s">
        <v>43</v>
      </c>
      <c r="AA2" s="42" t="s">
        <v>42</v>
      </c>
      <c r="AB2" s="42" t="s">
        <v>44</v>
      </c>
      <c r="AC2" s="3" t="s">
        <v>45</v>
      </c>
      <c r="AD2" s="290" t="s">
        <v>46</v>
      </c>
      <c r="AF2" s="3" t="s">
        <v>47</v>
      </c>
    </row>
    <row r="3" spans="1:32" s="70" customFormat="1">
      <c r="A3" s="70" t="s">
        <v>48</v>
      </c>
      <c r="B3" s="68">
        <v>45268</v>
      </c>
      <c r="C3" s="68">
        <v>45275</v>
      </c>
      <c r="D3" s="68">
        <v>44929</v>
      </c>
      <c r="E3" s="68">
        <v>45809</v>
      </c>
      <c r="F3" s="68">
        <v>45275</v>
      </c>
      <c r="H3" s="97">
        <v>10000</v>
      </c>
      <c r="I3" s="97">
        <v>3000</v>
      </c>
      <c r="J3" s="69">
        <f t="shared" ref="J3:J65" si="0">+I3/H3</f>
        <v>0.3</v>
      </c>
      <c r="L3" s="69">
        <f t="shared" ref="L3:L65" si="1">K3/H3</f>
        <v>0</v>
      </c>
      <c r="N3" s="70" t="s">
        <v>49</v>
      </c>
      <c r="O3" s="70" t="s">
        <v>50</v>
      </c>
      <c r="P3" s="70" t="s">
        <v>51</v>
      </c>
      <c r="Q3" s="70" t="s">
        <v>37</v>
      </c>
      <c r="R3" s="70" t="s">
        <v>38</v>
      </c>
      <c r="S3" s="97">
        <v>10000</v>
      </c>
      <c r="T3" s="70" t="s">
        <v>52</v>
      </c>
      <c r="W3" s="70" t="s">
        <v>53</v>
      </c>
      <c r="Y3" s="70" t="s">
        <v>47</v>
      </c>
      <c r="Z3" s="70" t="s">
        <v>54</v>
      </c>
      <c r="AA3" s="70" t="s">
        <v>44</v>
      </c>
      <c r="AB3" s="70" t="s">
        <v>47</v>
      </c>
      <c r="AC3" s="70" t="s">
        <v>55</v>
      </c>
      <c r="AD3" s="291" t="s">
        <v>56</v>
      </c>
      <c r="AF3" s="71" t="s">
        <v>47</v>
      </c>
    </row>
    <row r="4" spans="1:32" s="70" customFormat="1">
      <c r="A4" s="70" t="s">
        <v>48</v>
      </c>
      <c r="B4" s="68">
        <v>45268</v>
      </c>
      <c r="C4" s="68">
        <v>45275</v>
      </c>
      <c r="D4" s="68">
        <v>45292</v>
      </c>
      <c r="E4" s="68">
        <v>45657</v>
      </c>
      <c r="F4" s="68">
        <v>45645</v>
      </c>
      <c r="H4" s="70">
        <v>1000</v>
      </c>
      <c r="I4" s="70">
        <v>1000</v>
      </c>
      <c r="J4" s="69">
        <f t="shared" si="0"/>
        <v>1</v>
      </c>
      <c r="L4" s="69">
        <f t="shared" si="1"/>
        <v>0</v>
      </c>
      <c r="N4" s="70" t="s">
        <v>57</v>
      </c>
      <c r="O4" s="70" t="s">
        <v>58</v>
      </c>
      <c r="P4" s="70" t="s">
        <v>59</v>
      </c>
      <c r="Q4" s="70" t="s">
        <v>37</v>
      </c>
      <c r="R4" s="70" t="s">
        <v>38</v>
      </c>
      <c r="S4" s="97">
        <v>1000</v>
      </c>
      <c r="T4" s="70" t="s">
        <v>52</v>
      </c>
      <c r="V4" s="70">
        <v>1</v>
      </c>
      <c r="W4" s="70" t="s">
        <v>53</v>
      </c>
      <c r="Y4" s="70" t="s">
        <v>44</v>
      </c>
      <c r="AA4" s="70" t="s">
        <v>44</v>
      </c>
      <c r="AB4" s="70" t="s">
        <v>47</v>
      </c>
      <c r="AC4" s="70" t="s">
        <v>60</v>
      </c>
      <c r="AD4" s="291" t="s">
        <v>61</v>
      </c>
      <c r="AF4" s="71" t="s">
        <v>47</v>
      </c>
    </row>
    <row r="5" spans="1:32" s="70" customFormat="1">
      <c r="A5" s="70" t="s">
        <v>48</v>
      </c>
      <c r="B5" s="68">
        <v>45268</v>
      </c>
      <c r="C5" s="68">
        <v>45275</v>
      </c>
      <c r="D5" s="68">
        <v>45292</v>
      </c>
      <c r="E5" s="68">
        <v>45657</v>
      </c>
      <c r="F5" s="68">
        <v>45645</v>
      </c>
      <c r="H5" s="70">
        <v>1000</v>
      </c>
      <c r="I5" s="70">
        <v>1000</v>
      </c>
      <c r="J5" s="69">
        <f t="shared" si="0"/>
        <v>1</v>
      </c>
      <c r="L5" s="69">
        <f t="shared" si="1"/>
        <v>0</v>
      </c>
      <c r="N5" s="70" t="s">
        <v>57</v>
      </c>
      <c r="O5" s="70" t="s">
        <v>58</v>
      </c>
      <c r="P5" s="70" t="s">
        <v>62</v>
      </c>
      <c r="Q5" s="70" t="s">
        <v>37</v>
      </c>
      <c r="R5" s="70" t="s">
        <v>38</v>
      </c>
      <c r="S5" s="97">
        <v>1000</v>
      </c>
      <c r="T5" s="70" t="s">
        <v>52</v>
      </c>
      <c r="V5" s="70">
        <v>1</v>
      </c>
      <c r="W5" s="70" t="s">
        <v>53</v>
      </c>
      <c r="Y5" s="70" t="s">
        <v>44</v>
      </c>
      <c r="AA5" s="70" t="s">
        <v>44</v>
      </c>
      <c r="AB5" s="70" t="s">
        <v>47</v>
      </c>
      <c r="AC5" s="70" t="s">
        <v>60</v>
      </c>
      <c r="AD5" s="291" t="s">
        <v>61</v>
      </c>
      <c r="AF5" s="71" t="s">
        <v>47</v>
      </c>
    </row>
    <row r="6" spans="1:32" s="70" customFormat="1">
      <c r="A6" s="70" t="s">
        <v>48</v>
      </c>
      <c r="B6" s="68">
        <v>45268</v>
      </c>
      <c r="C6" s="68">
        <v>45275</v>
      </c>
      <c r="D6" s="68">
        <v>45292</v>
      </c>
      <c r="E6" s="68">
        <v>45657</v>
      </c>
      <c r="F6" s="68">
        <v>45645</v>
      </c>
      <c r="H6" s="70">
        <v>1000</v>
      </c>
      <c r="I6" s="70">
        <v>1000</v>
      </c>
      <c r="J6" s="69">
        <f t="shared" si="0"/>
        <v>1</v>
      </c>
      <c r="L6" s="69">
        <f t="shared" si="1"/>
        <v>0</v>
      </c>
      <c r="N6" s="70" t="s">
        <v>57</v>
      </c>
      <c r="O6" s="70" t="s">
        <v>58</v>
      </c>
      <c r="P6" s="70" t="s">
        <v>63</v>
      </c>
      <c r="Q6" s="70" t="s">
        <v>37</v>
      </c>
      <c r="R6" s="70" t="s">
        <v>38</v>
      </c>
      <c r="S6" s="97">
        <v>1000</v>
      </c>
      <c r="T6" s="70" t="s">
        <v>52</v>
      </c>
      <c r="V6" s="70">
        <v>1</v>
      </c>
      <c r="W6" s="70" t="s">
        <v>53</v>
      </c>
      <c r="Y6" s="70" t="s">
        <v>44</v>
      </c>
      <c r="AA6" s="70" t="s">
        <v>44</v>
      </c>
      <c r="AB6" s="70" t="s">
        <v>47</v>
      </c>
      <c r="AC6" s="70" t="s">
        <v>60</v>
      </c>
      <c r="AD6" s="291" t="s">
        <v>64</v>
      </c>
      <c r="AF6" s="71" t="s">
        <v>47</v>
      </c>
    </row>
    <row r="7" spans="1:32" s="70" customFormat="1">
      <c r="A7" s="70" t="s">
        <v>48</v>
      </c>
      <c r="B7" s="68">
        <v>45268</v>
      </c>
      <c r="C7" s="68">
        <v>45275</v>
      </c>
      <c r="D7" s="68">
        <v>45292</v>
      </c>
      <c r="E7" s="68">
        <v>45657</v>
      </c>
      <c r="F7" s="68">
        <v>45645</v>
      </c>
      <c r="H7" s="70">
        <v>1000</v>
      </c>
      <c r="I7" s="70">
        <v>1000</v>
      </c>
      <c r="J7" s="69">
        <f t="shared" si="0"/>
        <v>1</v>
      </c>
      <c r="L7" s="69">
        <f t="shared" si="1"/>
        <v>0</v>
      </c>
      <c r="N7" s="70" t="s">
        <v>57</v>
      </c>
      <c r="O7" s="70" t="s">
        <v>58</v>
      </c>
      <c r="P7" s="70" t="s">
        <v>65</v>
      </c>
      <c r="Q7" s="70" t="s">
        <v>37</v>
      </c>
      <c r="R7" s="70" t="s">
        <v>38</v>
      </c>
      <c r="S7" s="97">
        <v>1000</v>
      </c>
      <c r="T7" s="70" t="s">
        <v>52</v>
      </c>
      <c r="V7" s="70">
        <v>1</v>
      </c>
      <c r="W7" s="70" t="s">
        <v>53</v>
      </c>
      <c r="Y7" s="70" t="s">
        <v>44</v>
      </c>
      <c r="AA7" s="70" t="s">
        <v>44</v>
      </c>
      <c r="AB7" s="70" t="s">
        <v>47</v>
      </c>
      <c r="AC7" s="70" t="s">
        <v>60</v>
      </c>
      <c r="AD7" s="291" t="s">
        <v>66</v>
      </c>
      <c r="AF7" s="71" t="s">
        <v>47</v>
      </c>
    </row>
    <row r="8" spans="1:32" s="70" customFormat="1">
      <c r="A8" s="70" t="s">
        <v>48</v>
      </c>
      <c r="B8" s="68">
        <v>45268</v>
      </c>
      <c r="C8" s="68">
        <v>45275</v>
      </c>
      <c r="D8" s="68">
        <v>45292</v>
      </c>
      <c r="E8" s="68">
        <v>45657</v>
      </c>
      <c r="F8" s="68">
        <v>45645</v>
      </c>
      <c r="H8" s="70">
        <v>1000</v>
      </c>
      <c r="I8" s="70">
        <v>1000</v>
      </c>
      <c r="J8" s="69">
        <f t="shared" si="0"/>
        <v>1</v>
      </c>
      <c r="L8" s="69">
        <f t="shared" si="1"/>
        <v>0</v>
      </c>
      <c r="N8" s="70" t="s">
        <v>57</v>
      </c>
      <c r="O8" s="70" t="s">
        <v>58</v>
      </c>
      <c r="P8" s="70" t="s">
        <v>67</v>
      </c>
      <c r="Q8" s="70" t="s">
        <v>37</v>
      </c>
      <c r="R8" s="70" t="s">
        <v>38</v>
      </c>
      <c r="S8" s="97">
        <v>1000</v>
      </c>
      <c r="T8" s="70" t="s">
        <v>52</v>
      </c>
      <c r="V8" s="70">
        <v>1</v>
      </c>
      <c r="W8" s="70" t="s">
        <v>53</v>
      </c>
      <c r="Y8" s="70" t="s">
        <v>44</v>
      </c>
      <c r="AA8" s="70" t="s">
        <v>44</v>
      </c>
      <c r="AB8" s="70" t="s">
        <v>47</v>
      </c>
      <c r="AC8" s="70" t="s">
        <v>60</v>
      </c>
      <c r="AD8" s="291" t="s">
        <v>68</v>
      </c>
      <c r="AF8" s="71" t="s">
        <v>47</v>
      </c>
    </row>
    <row r="9" spans="1:32" s="70" customFormat="1">
      <c r="A9" s="70" t="s">
        <v>48</v>
      </c>
      <c r="B9" s="68">
        <v>45268</v>
      </c>
      <c r="C9" s="68">
        <v>45275</v>
      </c>
      <c r="D9" s="68">
        <v>45292</v>
      </c>
      <c r="E9" s="68">
        <v>45657</v>
      </c>
      <c r="F9" s="68">
        <v>45645</v>
      </c>
      <c r="H9" s="70">
        <v>1000</v>
      </c>
      <c r="I9" s="70">
        <v>1000</v>
      </c>
      <c r="J9" s="69">
        <f t="shared" si="0"/>
        <v>1</v>
      </c>
      <c r="L9" s="69">
        <f t="shared" si="1"/>
        <v>0</v>
      </c>
      <c r="N9" s="70" t="s">
        <v>57</v>
      </c>
      <c r="O9" s="70" t="s">
        <v>58</v>
      </c>
      <c r="P9" s="70" t="s">
        <v>69</v>
      </c>
      <c r="Q9" s="70" t="s">
        <v>37</v>
      </c>
      <c r="R9" s="70" t="s">
        <v>38</v>
      </c>
      <c r="S9" s="97">
        <v>1000</v>
      </c>
      <c r="T9" s="70" t="s">
        <v>52</v>
      </c>
      <c r="V9" s="70">
        <v>1</v>
      </c>
      <c r="W9" s="70" t="s">
        <v>53</v>
      </c>
      <c r="Y9" s="70" t="s">
        <v>44</v>
      </c>
      <c r="AA9" s="70" t="s">
        <v>44</v>
      </c>
      <c r="AB9" s="70" t="s">
        <v>47</v>
      </c>
      <c r="AC9" s="70" t="s">
        <v>60</v>
      </c>
      <c r="AD9" s="291" t="s">
        <v>70</v>
      </c>
      <c r="AF9" s="71" t="s">
        <v>47</v>
      </c>
    </row>
    <row r="10" spans="1:32" s="70" customFormat="1">
      <c r="A10" s="70" t="s">
        <v>71</v>
      </c>
      <c r="B10" s="68">
        <v>45273</v>
      </c>
      <c r="C10" s="68">
        <f>+D10-14</f>
        <v>45293</v>
      </c>
      <c r="D10" s="68">
        <v>45307</v>
      </c>
      <c r="E10" s="68">
        <v>45313</v>
      </c>
      <c r="F10" s="68">
        <v>45289</v>
      </c>
      <c r="G10" s="68">
        <v>45302</v>
      </c>
      <c r="H10" s="97">
        <v>97000</v>
      </c>
      <c r="I10" s="70">
        <v>500</v>
      </c>
      <c r="J10" s="69">
        <f>+I10/H10</f>
        <v>5.1546391752577319E-3</v>
      </c>
      <c r="L10" s="69">
        <f t="shared" si="1"/>
        <v>0</v>
      </c>
      <c r="M10" s="70" t="s">
        <v>72</v>
      </c>
      <c r="N10" s="70" t="s">
        <v>73</v>
      </c>
      <c r="O10" s="70" t="s">
        <v>74</v>
      </c>
      <c r="P10" s="70" t="s">
        <v>75</v>
      </c>
      <c r="Q10" s="70" t="s">
        <v>76</v>
      </c>
      <c r="R10" s="70" t="s">
        <v>38</v>
      </c>
      <c r="S10" s="97">
        <v>320000</v>
      </c>
      <c r="T10" s="70" t="s">
        <v>77</v>
      </c>
      <c r="W10" s="70" t="s">
        <v>53</v>
      </c>
      <c r="Y10" s="70" t="s">
        <v>44</v>
      </c>
      <c r="Z10" s="70" t="s">
        <v>78</v>
      </c>
      <c r="AA10" s="70" t="s">
        <v>44</v>
      </c>
      <c r="AB10" s="70" t="s">
        <v>44</v>
      </c>
      <c r="AC10" s="70" t="s">
        <v>79</v>
      </c>
      <c r="AD10" s="291" t="s">
        <v>80</v>
      </c>
      <c r="AF10" s="71" t="s">
        <v>47</v>
      </c>
    </row>
    <row r="11" spans="1:32" s="74" customFormat="1">
      <c r="A11" s="74" t="s">
        <v>71</v>
      </c>
      <c r="B11" s="72">
        <v>45292</v>
      </c>
      <c r="C11" s="72" t="s">
        <v>81</v>
      </c>
      <c r="D11" s="72">
        <v>45292</v>
      </c>
      <c r="E11" s="72" t="s">
        <v>81</v>
      </c>
      <c r="F11" s="72">
        <v>45292</v>
      </c>
      <c r="H11" s="98">
        <v>1000000</v>
      </c>
      <c r="J11" s="73">
        <f t="shared" si="0"/>
        <v>0</v>
      </c>
      <c r="L11" s="73">
        <f t="shared" si="1"/>
        <v>0</v>
      </c>
      <c r="M11" s="74" t="s">
        <v>33</v>
      </c>
      <c r="N11" s="74" t="s">
        <v>82</v>
      </c>
      <c r="O11" s="74" t="s">
        <v>83</v>
      </c>
      <c r="P11" s="74" t="s">
        <v>84</v>
      </c>
      <c r="Q11" s="74" t="s">
        <v>37</v>
      </c>
      <c r="R11" s="74" t="s">
        <v>38</v>
      </c>
      <c r="T11" s="74" t="s">
        <v>52</v>
      </c>
      <c r="U11" s="74" t="s">
        <v>81</v>
      </c>
      <c r="V11" s="74">
        <v>1</v>
      </c>
      <c r="W11" s="74" t="s">
        <v>53</v>
      </c>
      <c r="Y11" s="74" t="s">
        <v>47</v>
      </c>
      <c r="Z11" s="74" t="s">
        <v>54</v>
      </c>
      <c r="AA11" s="74" t="s">
        <v>44</v>
      </c>
      <c r="AD11" s="292"/>
    </row>
    <row r="12" spans="1:32" s="70" customFormat="1">
      <c r="A12" s="70" t="s">
        <v>71</v>
      </c>
      <c r="B12" s="68">
        <v>45275</v>
      </c>
      <c r="C12" s="68">
        <v>45296</v>
      </c>
      <c r="D12" s="68">
        <v>45314</v>
      </c>
      <c r="E12" s="68">
        <v>45325</v>
      </c>
      <c r="F12" s="68"/>
      <c r="H12" s="70">
        <v>300000</v>
      </c>
      <c r="I12" s="70">
        <v>50</v>
      </c>
      <c r="J12" s="69">
        <f>+I12/H12</f>
        <v>1.6666666666666666E-4</v>
      </c>
      <c r="L12" s="69">
        <f t="shared" si="1"/>
        <v>0</v>
      </c>
      <c r="M12" s="70" t="s">
        <v>72</v>
      </c>
      <c r="N12" s="70" t="s">
        <v>85</v>
      </c>
      <c r="O12" s="70" t="s">
        <v>86</v>
      </c>
      <c r="P12" s="70" t="s">
        <v>87</v>
      </c>
      <c r="Q12" s="70" t="s">
        <v>37</v>
      </c>
      <c r="R12" s="70" t="s">
        <v>88</v>
      </c>
      <c r="U12" s="70" t="s">
        <v>89</v>
      </c>
      <c r="V12" s="70">
        <v>1</v>
      </c>
      <c r="W12" s="70" t="s">
        <v>53</v>
      </c>
      <c r="Y12" s="70" t="s">
        <v>47</v>
      </c>
      <c r="Z12" s="70" t="s">
        <v>90</v>
      </c>
      <c r="AA12" s="70" t="s">
        <v>44</v>
      </c>
      <c r="AB12" s="70" t="s">
        <v>44</v>
      </c>
      <c r="AC12" s="70" t="s">
        <v>91</v>
      </c>
      <c r="AD12" s="291" t="s">
        <v>92</v>
      </c>
      <c r="AF12" s="75" t="s">
        <v>47</v>
      </c>
    </row>
    <row r="13" spans="1:32" s="74" customFormat="1">
      <c r="A13" s="74" t="s">
        <v>71</v>
      </c>
      <c r="B13" s="72">
        <v>45278</v>
      </c>
      <c r="C13" s="72">
        <v>45299</v>
      </c>
      <c r="D13" s="72">
        <v>45323</v>
      </c>
      <c r="E13" s="72">
        <v>45688</v>
      </c>
      <c r="F13" s="72">
        <v>45323</v>
      </c>
      <c r="H13" s="74">
        <v>1000000</v>
      </c>
      <c r="I13" s="74">
        <v>5000</v>
      </c>
      <c r="J13" s="73">
        <f t="shared" si="0"/>
        <v>5.0000000000000001E-3</v>
      </c>
      <c r="L13" s="73">
        <f t="shared" si="1"/>
        <v>0</v>
      </c>
      <c r="M13" s="74" t="s">
        <v>33</v>
      </c>
      <c r="N13" s="74" t="s">
        <v>93</v>
      </c>
      <c r="O13" s="74" t="s">
        <v>94</v>
      </c>
      <c r="P13" s="74" t="s">
        <v>95</v>
      </c>
      <c r="Q13" s="74" t="s">
        <v>37</v>
      </c>
      <c r="R13" s="74" t="s">
        <v>88</v>
      </c>
      <c r="S13" s="74">
        <v>250</v>
      </c>
      <c r="T13" s="74" t="s">
        <v>96</v>
      </c>
      <c r="U13" s="74" t="s">
        <v>97</v>
      </c>
      <c r="V13" s="74">
        <v>1</v>
      </c>
      <c r="W13" s="74" t="s">
        <v>53</v>
      </c>
      <c r="X13" s="74" t="s">
        <v>44</v>
      </c>
      <c r="Y13" s="74" t="s">
        <v>44</v>
      </c>
      <c r="AA13" s="74" t="s">
        <v>44</v>
      </c>
      <c r="AB13" s="74" t="s">
        <v>47</v>
      </c>
      <c r="AD13" s="292"/>
    </row>
    <row r="14" spans="1:32" s="85" customFormat="1">
      <c r="A14" s="85" t="s">
        <v>98</v>
      </c>
      <c r="B14" s="90">
        <v>45278</v>
      </c>
      <c r="C14" s="99">
        <v>45350</v>
      </c>
      <c r="D14" s="90">
        <v>45355</v>
      </c>
      <c r="E14" s="90">
        <v>45412</v>
      </c>
      <c r="F14" s="99">
        <v>45350</v>
      </c>
      <c r="G14" s="86"/>
      <c r="H14" s="85">
        <v>1000000</v>
      </c>
      <c r="I14" s="85">
        <v>5000</v>
      </c>
      <c r="J14" s="84">
        <f t="shared" si="0"/>
        <v>5.0000000000000001E-3</v>
      </c>
      <c r="L14" s="84">
        <f t="shared" si="1"/>
        <v>0</v>
      </c>
      <c r="M14" s="86" t="s">
        <v>72</v>
      </c>
      <c r="N14" s="85" t="s">
        <v>82</v>
      </c>
      <c r="O14" s="85" t="s">
        <v>99</v>
      </c>
      <c r="P14" s="85" t="s">
        <v>100</v>
      </c>
      <c r="Q14" s="86" t="s">
        <v>76</v>
      </c>
      <c r="R14" s="86" t="s">
        <v>88</v>
      </c>
      <c r="W14" s="86" t="s">
        <v>53</v>
      </c>
      <c r="X14" s="86"/>
      <c r="Y14" s="86" t="s">
        <v>44</v>
      </c>
      <c r="Z14" s="85" t="s">
        <v>90</v>
      </c>
      <c r="AA14" s="86"/>
      <c r="AB14" s="86"/>
      <c r="AD14" s="293"/>
    </row>
    <row r="15" spans="1:32" s="93" customFormat="1">
      <c r="A15" s="93" t="s">
        <v>101</v>
      </c>
      <c r="B15" s="91">
        <v>45278</v>
      </c>
      <c r="C15" s="91">
        <v>45299</v>
      </c>
      <c r="D15" s="91">
        <v>45323</v>
      </c>
      <c r="E15" s="91">
        <v>45415</v>
      </c>
      <c r="F15" s="91">
        <v>45323</v>
      </c>
      <c r="H15" s="93">
        <v>1000000</v>
      </c>
      <c r="I15" s="100">
        <v>10000</v>
      </c>
      <c r="J15" s="92">
        <f>+I15/H15</f>
        <v>0.01</v>
      </c>
      <c r="L15" s="92">
        <f>K15/H15</f>
        <v>0</v>
      </c>
      <c r="M15" s="93" t="s">
        <v>33</v>
      </c>
      <c r="N15" s="93" t="s">
        <v>93</v>
      </c>
      <c r="O15" s="93" t="s">
        <v>94</v>
      </c>
      <c r="P15" s="93" t="s">
        <v>102</v>
      </c>
      <c r="Q15" s="93" t="s">
        <v>37</v>
      </c>
      <c r="R15" s="93" t="s">
        <v>88</v>
      </c>
      <c r="S15" s="93">
        <v>20</v>
      </c>
      <c r="T15" s="93" t="s">
        <v>77</v>
      </c>
      <c r="U15" s="93" t="s">
        <v>103</v>
      </c>
      <c r="V15" s="93">
        <v>1</v>
      </c>
      <c r="W15" s="93" t="s">
        <v>53</v>
      </c>
      <c r="X15" s="93" t="s">
        <v>44</v>
      </c>
      <c r="Y15" s="93" t="s">
        <v>44</v>
      </c>
      <c r="Z15" s="93" t="s">
        <v>90</v>
      </c>
      <c r="AA15" s="93" t="s">
        <v>44</v>
      </c>
      <c r="AB15" s="93" t="s">
        <v>47</v>
      </c>
      <c r="AD15" s="294"/>
    </row>
    <row r="16" spans="1:32" s="85" customFormat="1">
      <c r="A16" s="85" t="s">
        <v>98</v>
      </c>
      <c r="B16" s="90">
        <v>45278</v>
      </c>
      <c r="C16" s="99">
        <v>45350</v>
      </c>
      <c r="D16" s="90">
        <v>45355</v>
      </c>
      <c r="E16" s="90">
        <v>45412</v>
      </c>
      <c r="F16" s="99">
        <v>45350</v>
      </c>
      <c r="G16" s="86"/>
      <c r="H16" s="85">
        <v>1000000</v>
      </c>
      <c r="I16" s="101">
        <v>10000</v>
      </c>
      <c r="J16" s="84">
        <f>+I16/H16</f>
        <v>0.01</v>
      </c>
      <c r="L16" s="84">
        <f>K16/H16</f>
        <v>0</v>
      </c>
      <c r="M16" s="86" t="s">
        <v>72</v>
      </c>
      <c r="N16" s="85" t="s">
        <v>93</v>
      </c>
      <c r="O16" s="85" t="s">
        <v>94</v>
      </c>
      <c r="P16" s="85" t="s">
        <v>100</v>
      </c>
      <c r="Q16" s="86" t="s">
        <v>76</v>
      </c>
      <c r="R16" s="86" t="s">
        <v>88</v>
      </c>
      <c r="S16" s="85">
        <v>30</v>
      </c>
      <c r="T16" s="85" t="s">
        <v>77</v>
      </c>
      <c r="U16" s="85" t="s">
        <v>103</v>
      </c>
      <c r="V16" s="85">
        <v>1</v>
      </c>
      <c r="W16" s="86" t="s">
        <v>53</v>
      </c>
      <c r="X16" s="86" t="s">
        <v>44</v>
      </c>
      <c r="Y16" s="86" t="s">
        <v>44</v>
      </c>
      <c r="Z16" s="85" t="s">
        <v>90</v>
      </c>
      <c r="AA16" s="86" t="s">
        <v>44</v>
      </c>
      <c r="AB16" s="86" t="s">
        <v>47</v>
      </c>
      <c r="AD16" s="293"/>
    </row>
    <row r="17" spans="1:32" s="70" customFormat="1" ht="87">
      <c r="A17" s="70" t="s">
        <v>71</v>
      </c>
      <c r="B17" s="68">
        <v>45279</v>
      </c>
      <c r="C17" s="68">
        <v>45296</v>
      </c>
      <c r="D17" s="68">
        <v>45319</v>
      </c>
      <c r="E17" s="68">
        <v>45682</v>
      </c>
      <c r="F17" s="68">
        <v>45296</v>
      </c>
      <c r="H17" s="70">
        <v>5000</v>
      </c>
      <c r="I17" s="70">
        <v>5000</v>
      </c>
      <c r="J17" s="69">
        <f t="shared" si="0"/>
        <v>1</v>
      </c>
      <c r="L17" s="69">
        <f t="shared" si="1"/>
        <v>0</v>
      </c>
      <c r="M17" s="70" t="s">
        <v>33</v>
      </c>
      <c r="N17" s="70" t="s">
        <v>57</v>
      </c>
      <c r="O17" s="70" t="s">
        <v>104</v>
      </c>
      <c r="P17" s="70" t="s">
        <v>62</v>
      </c>
      <c r="Q17" s="70" t="s">
        <v>37</v>
      </c>
      <c r="R17" s="70" t="s">
        <v>38</v>
      </c>
      <c r="S17" s="70">
        <v>5000</v>
      </c>
      <c r="T17" s="70" t="s">
        <v>77</v>
      </c>
      <c r="V17" s="70">
        <v>1</v>
      </c>
      <c r="W17" s="70" t="s">
        <v>53</v>
      </c>
      <c r="Y17" s="70" t="s">
        <v>44</v>
      </c>
      <c r="AA17" s="70" t="s">
        <v>44</v>
      </c>
      <c r="AB17" s="70" t="s">
        <v>47</v>
      </c>
      <c r="AC17" s="70" t="s">
        <v>105</v>
      </c>
      <c r="AD17" s="291" t="s">
        <v>106</v>
      </c>
      <c r="AE17" s="96" t="s">
        <v>107</v>
      </c>
      <c r="AF17" s="67" t="s">
        <v>47</v>
      </c>
    </row>
    <row r="18" spans="1:32" s="66" customFormat="1">
      <c r="A18" s="66" t="s">
        <v>71</v>
      </c>
      <c r="B18" s="102">
        <v>45293</v>
      </c>
      <c r="C18" s="102">
        <v>45294</v>
      </c>
      <c r="D18" s="102">
        <v>45303</v>
      </c>
      <c r="E18" s="102">
        <v>45306</v>
      </c>
      <c r="F18" s="102">
        <v>45294</v>
      </c>
      <c r="G18" s="102">
        <v>45294</v>
      </c>
      <c r="J18" s="65" t="e">
        <f t="shared" si="0"/>
        <v>#DIV/0!</v>
      </c>
      <c r="L18" s="65" t="e">
        <f t="shared" si="1"/>
        <v>#DIV/0!</v>
      </c>
      <c r="N18" s="66" t="s">
        <v>108</v>
      </c>
      <c r="O18" s="66" t="s">
        <v>35</v>
      </c>
      <c r="P18" s="66" t="s">
        <v>109</v>
      </c>
      <c r="Q18" s="66" t="s">
        <v>37</v>
      </c>
      <c r="R18" s="66" t="s">
        <v>88</v>
      </c>
      <c r="T18" s="66" t="s">
        <v>110</v>
      </c>
      <c r="U18" s="66" t="s">
        <v>111</v>
      </c>
      <c r="V18" s="66">
        <v>1</v>
      </c>
      <c r="W18" s="66" t="s">
        <v>53</v>
      </c>
      <c r="X18" s="66" t="s">
        <v>44</v>
      </c>
      <c r="Y18" s="66" t="s">
        <v>44</v>
      </c>
      <c r="Z18" s="66" t="s">
        <v>112</v>
      </c>
      <c r="AA18" s="66" t="s">
        <v>44</v>
      </c>
      <c r="AB18" s="66" t="s">
        <v>44</v>
      </c>
      <c r="AC18" s="66" t="s">
        <v>113</v>
      </c>
      <c r="AD18" s="295" t="s">
        <v>114</v>
      </c>
      <c r="AF18" s="67" t="s">
        <v>47</v>
      </c>
    </row>
    <row r="19" spans="1:32" s="70" customFormat="1">
      <c r="A19" s="70" t="s">
        <v>115</v>
      </c>
      <c r="B19" s="68">
        <v>45302</v>
      </c>
      <c r="C19" s="68">
        <v>45309</v>
      </c>
      <c r="D19" s="68">
        <v>45356</v>
      </c>
      <c r="E19" s="68">
        <v>45809</v>
      </c>
      <c r="F19" s="68">
        <v>45321</v>
      </c>
      <c r="H19" s="70">
        <v>2800</v>
      </c>
      <c r="I19" s="70">
        <v>200</v>
      </c>
      <c r="J19" s="69">
        <f t="shared" si="0"/>
        <v>7.1428571428571425E-2</v>
      </c>
      <c r="L19" s="69">
        <f t="shared" si="1"/>
        <v>0</v>
      </c>
      <c r="N19" s="70" t="s">
        <v>49</v>
      </c>
      <c r="O19" s="70" t="s">
        <v>116</v>
      </c>
      <c r="P19" s="70" t="s">
        <v>117</v>
      </c>
      <c r="Q19" s="70" t="s">
        <v>37</v>
      </c>
      <c r="R19" s="70" t="s">
        <v>38</v>
      </c>
      <c r="S19" s="70">
        <v>2800</v>
      </c>
      <c r="T19" s="70" t="s">
        <v>118</v>
      </c>
      <c r="W19" s="70" t="s">
        <v>53</v>
      </c>
      <c r="Y19" s="70" t="s">
        <v>47</v>
      </c>
      <c r="Z19" s="70" t="s">
        <v>54</v>
      </c>
      <c r="AA19" s="70" t="s">
        <v>44</v>
      </c>
      <c r="AB19" s="70" t="s">
        <v>44</v>
      </c>
      <c r="AC19" s="70" t="s">
        <v>119</v>
      </c>
      <c r="AD19" s="291" t="s">
        <v>120</v>
      </c>
      <c r="AF19" s="67" t="s">
        <v>47</v>
      </c>
    </row>
    <row r="20" spans="1:32" s="70" customFormat="1">
      <c r="A20" s="70" t="s">
        <v>115</v>
      </c>
      <c r="B20" s="68">
        <v>45302</v>
      </c>
      <c r="C20" s="68">
        <v>45309</v>
      </c>
      <c r="D20" s="68">
        <v>45323</v>
      </c>
      <c r="E20" s="68">
        <v>45413</v>
      </c>
      <c r="F20" s="68">
        <v>45323</v>
      </c>
      <c r="H20" s="70">
        <v>10</v>
      </c>
      <c r="I20" s="70">
        <v>8</v>
      </c>
      <c r="J20" s="69">
        <f t="shared" si="0"/>
        <v>0.8</v>
      </c>
      <c r="L20" s="69">
        <f t="shared" si="1"/>
        <v>0</v>
      </c>
      <c r="N20" s="70" t="s">
        <v>49</v>
      </c>
      <c r="O20" s="70" t="s">
        <v>121</v>
      </c>
      <c r="P20" s="70" t="s">
        <v>122</v>
      </c>
      <c r="Q20" s="70" t="s">
        <v>37</v>
      </c>
      <c r="R20" s="70" t="s">
        <v>38</v>
      </c>
      <c r="S20" s="70">
        <v>10</v>
      </c>
      <c r="T20" s="70" t="s">
        <v>77</v>
      </c>
      <c r="W20" s="70" t="s">
        <v>53</v>
      </c>
      <c r="Y20" s="70" t="s">
        <v>44</v>
      </c>
      <c r="Z20" s="70" t="s">
        <v>123</v>
      </c>
      <c r="AA20" s="70" t="s">
        <v>44</v>
      </c>
      <c r="AB20" s="70" t="s">
        <v>44</v>
      </c>
      <c r="AC20" s="70" t="s">
        <v>124</v>
      </c>
      <c r="AD20" s="291" t="s">
        <v>125</v>
      </c>
      <c r="AF20" s="67" t="s">
        <v>47</v>
      </c>
    </row>
    <row r="21" spans="1:32" s="70" customFormat="1" ht="57.95">
      <c r="A21" s="70" t="s">
        <v>115</v>
      </c>
      <c r="B21" s="68">
        <v>45308</v>
      </c>
      <c r="C21" s="68">
        <v>45309</v>
      </c>
      <c r="D21" s="68">
        <v>45310</v>
      </c>
      <c r="E21" s="68">
        <v>45657</v>
      </c>
      <c r="F21" s="68">
        <v>45310</v>
      </c>
      <c r="H21" s="97">
        <v>400000</v>
      </c>
      <c r="I21" s="97">
        <v>50000</v>
      </c>
      <c r="J21" s="69">
        <f t="shared" si="0"/>
        <v>0.125</v>
      </c>
      <c r="L21" s="69">
        <f t="shared" si="1"/>
        <v>0</v>
      </c>
      <c r="N21" s="70" t="s">
        <v>126</v>
      </c>
      <c r="O21" s="70" t="s">
        <v>74</v>
      </c>
      <c r="P21" s="70" t="s">
        <v>127</v>
      </c>
      <c r="Q21" s="70" t="s">
        <v>37</v>
      </c>
      <c r="R21" s="70" t="s">
        <v>38</v>
      </c>
      <c r="S21" s="97">
        <v>800000</v>
      </c>
      <c r="T21" s="70" t="s">
        <v>77</v>
      </c>
      <c r="W21" s="70" t="s">
        <v>53</v>
      </c>
      <c r="X21" s="70" t="s">
        <v>44</v>
      </c>
      <c r="Y21" s="70" t="s">
        <v>47</v>
      </c>
      <c r="Z21" s="70" t="s">
        <v>54</v>
      </c>
      <c r="AA21" s="70" t="s">
        <v>44</v>
      </c>
      <c r="AB21" s="70" t="s">
        <v>44</v>
      </c>
      <c r="AC21" s="70" t="s">
        <v>128</v>
      </c>
      <c r="AD21" s="291" t="s">
        <v>129</v>
      </c>
      <c r="AE21" s="96" t="s">
        <v>130</v>
      </c>
      <c r="AF21" s="67" t="s">
        <v>47</v>
      </c>
    </row>
    <row r="22" spans="1:32" s="70" customFormat="1">
      <c r="A22" s="70" t="s">
        <v>131</v>
      </c>
      <c r="B22" s="68">
        <v>45314</v>
      </c>
      <c r="C22" s="68">
        <v>45321</v>
      </c>
      <c r="D22" s="68">
        <v>45334</v>
      </c>
      <c r="E22" s="68">
        <v>45337</v>
      </c>
      <c r="F22" s="68">
        <v>45332</v>
      </c>
      <c r="H22" s="70">
        <v>10000</v>
      </c>
      <c r="I22" s="70">
        <v>100</v>
      </c>
      <c r="J22" s="69">
        <f t="shared" si="0"/>
        <v>0.01</v>
      </c>
      <c r="L22" s="69">
        <f t="shared" si="1"/>
        <v>0</v>
      </c>
      <c r="M22" s="70" t="s">
        <v>33</v>
      </c>
      <c r="N22" s="70" t="s">
        <v>93</v>
      </c>
      <c r="O22" s="70" t="s">
        <v>94</v>
      </c>
      <c r="P22" s="70" t="s">
        <v>132</v>
      </c>
      <c r="Q22" s="70" t="s">
        <v>37</v>
      </c>
      <c r="R22" s="70" t="s">
        <v>88</v>
      </c>
      <c r="S22" s="70">
        <v>1</v>
      </c>
      <c r="T22" s="70" t="s">
        <v>77</v>
      </c>
      <c r="U22" s="70" t="s">
        <v>133</v>
      </c>
      <c r="V22" s="70">
        <v>1</v>
      </c>
      <c r="W22" s="70" t="s">
        <v>53</v>
      </c>
      <c r="Y22" s="70" t="s">
        <v>44</v>
      </c>
      <c r="Z22" s="70" t="s">
        <v>90</v>
      </c>
      <c r="AA22" s="70" t="s">
        <v>44</v>
      </c>
      <c r="AB22" s="70" t="s">
        <v>47</v>
      </c>
      <c r="AC22" s="70" t="s">
        <v>134</v>
      </c>
      <c r="AD22" s="291" t="s">
        <v>135</v>
      </c>
      <c r="AF22" s="67" t="s">
        <v>47</v>
      </c>
    </row>
    <row r="23" spans="1:32" s="85" customFormat="1">
      <c r="A23" s="85" t="s">
        <v>98</v>
      </c>
      <c r="B23" s="90">
        <v>45314</v>
      </c>
      <c r="C23" s="99">
        <f>+D23-14</f>
        <v>45314</v>
      </c>
      <c r="D23" s="90">
        <v>45328</v>
      </c>
      <c r="E23" s="90">
        <v>45337</v>
      </c>
      <c r="F23" s="99">
        <v>45321</v>
      </c>
      <c r="G23" s="86">
        <v>45324</v>
      </c>
      <c r="H23" s="101">
        <v>180000</v>
      </c>
      <c r="I23" s="85">
        <v>500</v>
      </c>
      <c r="J23" s="84">
        <f>+I23/H23</f>
        <v>2.7777777777777779E-3</v>
      </c>
      <c r="L23" s="84">
        <f t="shared" ref="L23" si="2">K23/H23</f>
        <v>0</v>
      </c>
      <c r="M23" s="86" t="s">
        <v>72</v>
      </c>
      <c r="N23" s="85" t="s">
        <v>136</v>
      </c>
      <c r="O23" s="85" t="s">
        <v>74</v>
      </c>
      <c r="P23" s="85" t="s">
        <v>137</v>
      </c>
      <c r="Q23" s="86" t="s">
        <v>76</v>
      </c>
      <c r="R23" s="86" t="s">
        <v>38</v>
      </c>
      <c r="S23" s="101">
        <v>200000</v>
      </c>
      <c r="T23" s="85" t="s">
        <v>77</v>
      </c>
      <c r="W23" s="86" t="s">
        <v>53</v>
      </c>
      <c r="X23" s="86"/>
      <c r="Y23" s="86" t="s">
        <v>44</v>
      </c>
      <c r="Z23" s="85" t="s">
        <v>78</v>
      </c>
      <c r="AA23" s="86" t="s">
        <v>44</v>
      </c>
      <c r="AB23" s="86" t="s">
        <v>44</v>
      </c>
      <c r="AD23" s="293"/>
    </row>
    <row r="24" spans="1:32" s="70" customFormat="1">
      <c r="A24" s="70" t="s">
        <v>138</v>
      </c>
      <c r="B24" s="68">
        <v>45320</v>
      </c>
      <c r="C24" s="68">
        <f>D24-14</f>
        <v>45324</v>
      </c>
      <c r="D24" s="68">
        <v>45338</v>
      </c>
      <c r="E24" s="68">
        <v>45341</v>
      </c>
      <c r="F24" s="68">
        <f>D24-7</f>
        <v>45331</v>
      </c>
      <c r="G24" s="68">
        <f>F24</f>
        <v>45331</v>
      </c>
      <c r="H24" s="70" t="s">
        <v>139</v>
      </c>
      <c r="I24" s="70" t="s">
        <v>139</v>
      </c>
      <c r="J24" s="69" t="e">
        <f t="shared" si="0"/>
        <v>#VALUE!</v>
      </c>
      <c r="K24" s="70" t="s">
        <v>139</v>
      </c>
      <c r="L24" s="69" t="e">
        <f t="shared" si="1"/>
        <v>#VALUE!</v>
      </c>
      <c r="M24" s="70" t="s">
        <v>33</v>
      </c>
      <c r="N24" s="70" t="s">
        <v>140</v>
      </c>
      <c r="O24" s="70" t="s">
        <v>35</v>
      </c>
      <c r="P24" s="70" t="s">
        <v>141</v>
      </c>
      <c r="Q24" s="70" t="s">
        <v>37</v>
      </c>
      <c r="R24" s="70" t="s">
        <v>88</v>
      </c>
      <c r="S24" s="70" t="s">
        <v>139</v>
      </c>
      <c r="T24" s="70" t="s">
        <v>139</v>
      </c>
      <c r="U24" s="70" t="s">
        <v>142</v>
      </c>
      <c r="V24" s="70">
        <v>1</v>
      </c>
      <c r="W24" s="70" t="s">
        <v>53</v>
      </c>
      <c r="Y24" s="70" t="s">
        <v>44</v>
      </c>
      <c r="Z24" s="70" t="s">
        <v>112</v>
      </c>
      <c r="AA24" s="70" t="s">
        <v>44</v>
      </c>
      <c r="AB24" s="70" t="s">
        <v>47</v>
      </c>
      <c r="AC24" s="70" t="s">
        <v>143</v>
      </c>
      <c r="AD24" s="291" t="s">
        <v>144</v>
      </c>
      <c r="AE24" s="70" t="s">
        <v>145</v>
      </c>
      <c r="AF24" s="67" t="s">
        <v>47</v>
      </c>
    </row>
    <row r="25" spans="1:32" s="70" customFormat="1">
      <c r="A25" s="70" t="s">
        <v>146</v>
      </c>
      <c r="B25" s="68">
        <v>45328</v>
      </c>
      <c r="C25" s="68">
        <v>45336</v>
      </c>
      <c r="D25" s="68">
        <v>45344</v>
      </c>
      <c r="E25" s="68">
        <v>45348</v>
      </c>
      <c r="F25" s="68">
        <v>45342</v>
      </c>
      <c r="H25" s="70">
        <v>10000</v>
      </c>
      <c r="I25" s="70">
        <v>100</v>
      </c>
      <c r="J25" s="69">
        <f t="shared" si="0"/>
        <v>0.01</v>
      </c>
      <c r="L25" s="69">
        <f t="shared" si="1"/>
        <v>0</v>
      </c>
      <c r="M25" s="70" t="s">
        <v>33</v>
      </c>
      <c r="N25" s="70" t="s">
        <v>93</v>
      </c>
      <c r="O25" s="70" t="s">
        <v>94</v>
      </c>
      <c r="P25" s="70" t="s">
        <v>132</v>
      </c>
      <c r="Q25" s="70" t="s">
        <v>37</v>
      </c>
      <c r="R25" s="70" t="s">
        <v>88</v>
      </c>
      <c r="S25" s="70">
        <v>1</v>
      </c>
      <c r="T25" s="70" t="s">
        <v>77</v>
      </c>
      <c r="U25" s="70" t="s">
        <v>147</v>
      </c>
      <c r="V25" s="70">
        <v>1</v>
      </c>
      <c r="W25" s="70" t="s">
        <v>53</v>
      </c>
      <c r="Y25" s="70" t="s">
        <v>44</v>
      </c>
      <c r="Z25" s="70" t="s">
        <v>90</v>
      </c>
      <c r="AA25" s="70" t="s">
        <v>44</v>
      </c>
      <c r="AB25" s="70" t="s">
        <v>47</v>
      </c>
      <c r="AC25" s="70" t="s">
        <v>148</v>
      </c>
      <c r="AD25" s="291" t="s">
        <v>149</v>
      </c>
      <c r="AF25" s="67" t="s">
        <v>47</v>
      </c>
    </row>
    <row r="26" spans="1:32" s="70" customFormat="1">
      <c r="A26" s="70" t="s">
        <v>146</v>
      </c>
      <c r="B26" s="68">
        <v>45330</v>
      </c>
      <c r="C26" s="68">
        <v>45338</v>
      </c>
      <c r="D26" s="68">
        <v>45343</v>
      </c>
      <c r="E26" s="68">
        <v>45348</v>
      </c>
      <c r="F26" s="68">
        <v>45342</v>
      </c>
      <c r="H26" s="70">
        <v>10000</v>
      </c>
      <c r="I26" s="70">
        <v>100</v>
      </c>
      <c r="J26" s="69">
        <f t="shared" si="0"/>
        <v>0.01</v>
      </c>
      <c r="L26" s="69">
        <f t="shared" si="1"/>
        <v>0</v>
      </c>
      <c r="M26" s="70" t="s">
        <v>33</v>
      </c>
      <c r="N26" s="70" t="s">
        <v>93</v>
      </c>
      <c r="O26" s="70" t="s">
        <v>94</v>
      </c>
      <c r="P26" s="70" t="s">
        <v>132</v>
      </c>
      <c r="Q26" s="70" t="s">
        <v>37</v>
      </c>
      <c r="R26" s="70" t="s">
        <v>88</v>
      </c>
      <c r="S26" s="70">
        <v>1</v>
      </c>
      <c r="T26" s="70" t="s">
        <v>77</v>
      </c>
      <c r="U26" s="70" t="s">
        <v>150</v>
      </c>
      <c r="V26" s="70">
        <v>1</v>
      </c>
      <c r="W26" s="70" t="s">
        <v>53</v>
      </c>
      <c r="Y26" s="70" t="s">
        <v>44</v>
      </c>
      <c r="Z26" s="70" t="s">
        <v>90</v>
      </c>
      <c r="AA26" s="70" t="s">
        <v>44</v>
      </c>
      <c r="AB26" s="70" t="s">
        <v>47</v>
      </c>
      <c r="AC26" s="70" t="s">
        <v>148</v>
      </c>
      <c r="AD26" s="291" t="s">
        <v>149</v>
      </c>
      <c r="AF26" s="67" t="s">
        <v>47</v>
      </c>
    </row>
    <row r="27" spans="1:32" s="70" customFormat="1">
      <c r="A27" s="70" t="s">
        <v>151</v>
      </c>
      <c r="B27" s="68">
        <v>45348</v>
      </c>
      <c r="C27" s="68">
        <v>45355</v>
      </c>
      <c r="D27" s="68">
        <v>45357</v>
      </c>
      <c r="E27" s="68">
        <v>45388</v>
      </c>
      <c r="F27" s="68">
        <v>45355</v>
      </c>
      <c r="H27" s="70">
        <v>10000</v>
      </c>
      <c r="I27" s="70">
        <v>100</v>
      </c>
      <c r="J27" s="69">
        <f t="shared" si="0"/>
        <v>0.01</v>
      </c>
      <c r="L27" s="69">
        <f t="shared" si="1"/>
        <v>0</v>
      </c>
      <c r="M27" s="70" t="s">
        <v>72</v>
      </c>
      <c r="N27" s="70" t="s">
        <v>93</v>
      </c>
      <c r="O27" s="70" t="s">
        <v>94</v>
      </c>
      <c r="P27" s="70" t="s">
        <v>132</v>
      </c>
      <c r="Q27" s="70" t="s">
        <v>37</v>
      </c>
      <c r="R27" s="70" t="s">
        <v>88</v>
      </c>
      <c r="S27" s="70">
        <v>1</v>
      </c>
      <c r="T27" s="70">
        <v>100</v>
      </c>
      <c r="U27" s="70" t="s">
        <v>152</v>
      </c>
      <c r="V27" s="70">
        <v>1</v>
      </c>
      <c r="W27" s="70" t="s">
        <v>53</v>
      </c>
      <c r="Y27" s="70" t="s">
        <v>44</v>
      </c>
      <c r="Z27" s="70" t="s">
        <v>90</v>
      </c>
      <c r="AA27" s="70" t="s">
        <v>44</v>
      </c>
      <c r="AB27" s="70" t="s">
        <v>47</v>
      </c>
      <c r="AC27" s="70" t="s">
        <v>153</v>
      </c>
      <c r="AD27" s="291" t="s">
        <v>154</v>
      </c>
      <c r="AF27" s="67" t="s">
        <v>47</v>
      </c>
    </row>
    <row r="28" spans="1:32" s="70" customFormat="1">
      <c r="A28" s="70" t="s">
        <v>155</v>
      </c>
      <c r="B28" s="68">
        <v>45356</v>
      </c>
      <c r="C28" s="68">
        <v>45358</v>
      </c>
      <c r="D28" s="68">
        <v>45474</v>
      </c>
      <c r="E28" s="68">
        <v>45992</v>
      </c>
      <c r="F28" s="68">
        <v>45359</v>
      </c>
      <c r="H28" s="97">
        <v>6700</v>
      </c>
      <c r="I28" s="97">
        <v>1800</v>
      </c>
      <c r="J28" s="69">
        <f t="shared" ref="J28" si="3">+I28/H28</f>
        <v>0.26865671641791045</v>
      </c>
      <c r="L28" s="69">
        <f t="shared" ref="L28" si="4">K28/H28</f>
        <v>0</v>
      </c>
      <c r="N28" s="70" t="s">
        <v>82</v>
      </c>
      <c r="O28" s="70" t="s">
        <v>50</v>
      </c>
      <c r="P28" s="70" t="s">
        <v>156</v>
      </c>
      <c r="Q28" s="70" t="s">
        <v>37</v>
      </c>
      <c r="R28" s="70" t="s">
        <v>38</v>
      </c>
      <c r="S28" s="97">
        <v>6700</v>
      </c>
      <c r="T28" s="70" t="s">
        <v>52</v>
      </c>
      <c r="W28" s="70" t="s">
        <v>53</v>
      </c>
      <c r="Y28" s="70" t="s">
        <v>47</v>
      </c>
      <c r="Z28" s="70" t="s">
        <v>54</v>
      </c>
      <c r="AA28" s="70" t="s">
        <v>44</v>
      </c>
      <c r="AB28" s="70" t="s">
        <v>47</v>
      </c>
      <c r="AC28" s="70" t="s">
        <v>157</v>
      </c>
      <c r="AD28" s="291" t="s">
        <v>56</v>
      </c>
      <c r="AF28" s="67" t="s">
        <v>47</v>
      </c>
    </row>
    <row r="29" spans="1:32" s="70" customFormat="1">
      <c r="A29" s="70" t="s">
        <v>158</v>
      </c>
      <c r="B29" s="68">
        <v>45356</v>
      </c>
      <c r="C29" s="68">
        <v>45371</v>
      </c>
      <c r="D29" s="68">
        <v>45373</v>
      </c>
      <c r="E29" s="68">
        <v>45663</v>
      </c>
      <c r="F29" s="68">
        <v>45372</v>
      </c>
      <c r="H29" s="70">
        <v>10000</v>
      </c>
      <c r="I29" s="70">
        <v>40</v>
      </c>
      <c r="J29" s="69">
        <f t="shared" si="0"/>
        <v>4.0000000000000001E-3</v>
      </c>
      <c r="L29" s="69">
        <f t="shared" si="1"/>
        <v>0</v>
      </c>
      <c r="M29" s="70" t="s">
        <v>33</v>
      </c>
      <c r="N29" s="70" t="s">
        <v>159</v>
      </c>
      <c r="O29" s="70" t="s">
        <v>94</v>
      </c>
      <c r="P29" s="70" t="s">
        <v>160</v>
      </c>
      <c r="Q29" s="70" t="s">
        <v>37</v>
      </c>
      <c r="R29" s="70" t="s">
        <v>88</v>
      </c>
      <c r="S29" s="70">
        <v>1</v>
      </c>
      <c r="T29" s="70">
        <v>250</v>
      </c>
      <c r="U29" s="70" t="s">
        <v>161</v>
      </c>
      <c r="V29" s="70" t="s">
        <v>110</v>
      </c>
      <c r="W29" s="70" t="s">
        <v>53</v>
      </c>
      <c r="Y29" s="70" t="s">
        <v>44</v>
      </c>
      <c r="Z29" s="70" t="s">
        <v>162</v>
      </c>
      <c r="AA29" s="70" t="s">
        <v>44</v>
      </c>
      <c r="AB29" s="70" t="s">
        <v>47</v>
      </c>
      <c r="AC29" s="70" t="s">
        <v>163</v>
      </c>
      <c r="AD29" s="291" t="s">
        <v>164</v>
      </c>
      <c r="AF29" s="67" t="s">
        <v>47</v>
      </c>
    </row>
    <row r="30" spans="1:32" s="70" customFormat="1">
      <c r="A30" s="70" t="s">
        <v>158</v>
      </c>
      <c r="B30" s="68">
        <v>45356</v>
      </c>
      <c r="C30" s="68">
        <v>45371</v>
      </c>
      <c r="D30" s="68">
        <v>45373</v>
      </c>
      <c r="E30" s="68">
        <v>45663</v>
      </c>
      <c r="F30" s="68">
        <v>45372</v>
      </c>
      <c r="H30" s="70">
        <v>10000</v>
      </c>
      <c r="I30" s="70">
        <v>40</v>
      </c>
      <c r="J30" s="69">
        <f t="shared" si="0"/>
        <v>4.0000000000000001E-3</v>
      </c>
      <c r="L30" s="69">
        <f t="shared" si="1"/>
        <v>0</v>
      </c>
      <c r="M30" s="70" t="s">
        <v>33</v>
      </c>
      <c r="N30" s="70" t="s">
        <v>159</v>
      </c>
      <c r="O30" s="70" t="s">
        <v>94</v>
      </c>
      <c r="P30" s="70" t="s">
        <v>165</v>
      </c>
      <c r="Q30" s="70" t="s">
        <v>37</v>
      </c>
      <c r="R30" s="70" t="s">
        <v>88</v>
      </c>
      <c r="S30" s="70">
        <v>1</v>
      </c>
      <c r="T30" s="70">
        <v>250</v>
      </c>
      <c r="U30" s="70" t="s">
        <v>166</v>
      </c>
      <c r="V30" s="70" t="s">
        <v>110</v>
      </c>
      <c r="W30" s="70" t="s">
        <v>53</v>
      </c>
      <c r="Y30" s="70" t="s">
        <v>44</v>
      </c>
      <c r="Z30" s="70" t="s">
        <v>162</v>
      </c>
      <c r="AA30" s="70" t="s">
        <v>44</v>
      </c>
      <c r="AB30" s="70" t="s">
        <v>47</v>
      </c>
      <c r="AC30" s="70" t="s">
        <v>163</v>
      </c>
      <c r="AD30" s="291" t="s">
        <v>164</v>
      </c>
      <c r="AF30" s="67" t="s">
        <v>47</v>
      </c>
    </row>
    <row r="31" spans="1:32" s="70" customFormat="1">
      <c r="A31" s="70" t="s">
        <v>158</v>
      </c>
      <c r="B31" s="68">
        <v>45356</v>
      </c>
      <c r="C31" s="68">
        <v>45371</v>
      </c>
      <c r="D31" s="68">
        <v>45373</v>
      </c>
      <c r="E31" s="68">
        <v>45663</v>
      </c>
      <c r="F31" s="68">
        <v>45372</v>
      </c>
      <c r="H31" s="70">
        <v>10000</v>
      </c>
      <c r="I31" s="70">
        <v>40</v>
      </c>
      <c r="J31" s="69">
        <f t="shared" si="0"/>
        <v>4.0000000000000001E-3</v>
      </c>
      <c r="L31" s="69">
        <f t="shared" si="1"/>
        <v>0</v>
      </c>
      <c r="M31" s="70" t="s">
        <v>33</v>
      </c>
      <c r="N31" s="70" t="s">
        <v>159</v>
      </c>
      <c r="O31" s="70" t="s">
        <v>94</v>
      </c>
      <c r="P31" s="70" t="s">
        <v>167</v>
      </c>
      <c r="Q31" s="70" t="s">
        <v>37</v>
      </c>
      <c r="R31" s="70" t="s">
        <v>88</v>
      </c>
      <c r="S31" s="70">
        <v>1</v>
      </c>
      <c r="T31" s="70">
        <v>250</v>
      </c>
      <c r="U31" s="70" t="s">
        <v>168</v>
      </c>
      <c r="V31" s="70" t="s">
        <v>110</v>
      </c>
      <c r="W31" s="70" t="s">
        <v>53</v>
      </c>
      <c r="Y31" s="70" t="s">
        <v>44</v>
      </c>
      <c r="Z31" s="70" t="s">
        <v>162</v>
      </c>
      <c r="AA31" s="70" t="s">
        <v>44</v>
      </c>
      <c r="AB31" s="70" t="s">
        <v>47</v>
      </c>
      <c r="AC31" s="70" t="s">
        <v>163</v>
      </c>
      <c r="AD31" s="291" t="s">
        <v>164</v>
      </c>
      <c r="AF31" s="67" t="s">
        <v>47</v>
      </c>
    </row>
    <row r="32" spans="1:32" s="70" customFormat="1">
      <c r="A32" s="70" t="s">
        <v>158</v>
      </c>
      <c r="B32" s="68">
        <v>45356</v>
      </c>
      <c r="C32" s="68">
        <v>45371</v>
      </c>
      <c r="D32" s="68">
        <v>45373</v>
      </c>
      <c r="E32" s="68">
        <v>45663</v>
      </c>
      <c r="F32" s="68">
        <v>45372</v>
      </c>
      <c r="H32" s="70">
        <v>10000</v>
      </c>
      <c r="I32" s="70">
        <v>40</v>
      </c>
      <c r="J32" s="69">
        <f t="shared" si="0"/>
        <v>4.0000000000000001E-3</v>
      </c>
      <c r="L32" s="69">
        <f t="shared" si="1"/>
        <v>0</v>
      </c>
      <c r="M32" s="70" t="s">
        <v>33</v>
      </c>
      <c r="N32" s="70" t="s">
        <v>159</v>
      </c>
      <c r="O32" s="70" t="s">
        <v>94</v>
      </c>
      <c r="P32" s="70" t="s">
        <v>169</v>
      </c>
      <c r="Q32" s="70" t="s">
        <v>37</v>
      </c>
      <c r="R32" s="70" t="s">
        <v>88</v>
      </c>
      <c r="S32" s="70">
        <v>1</v>
      </c>
      <c r="T32" s="70">
        <v>250</v>
      </c>
      <c r="U32" s="70" t="s">
        <v>170</v>
      </c>
      <c r="V32" s="70" t="s">
        <v>110</v>
      </c>
      <c r="W32" s="70" t="s">
        <v>53</v>
      </c>
      <c r="Y32" s="70" t="s">
        <v>44</v>
      </c>
      <c r="Z32" s="70" t="s">
        <v>162</v>
      </c>
      <c r="AA32" s="70" t="s">
        <v>44</v>
      </c>
      <c r="AB32" s="70" t="s">
        <v>47</v>
      </c>
      <c r="AC32" s="70" t="s">
        <v>163</v>
      </c>
      <c r="AD32" s="291" t="s">
        <v>164</v>
      </c>
      <c r="AF32" s="67" t="s">
        <v>47</v>
      </c>
    </row>
    <row r="33" spans="1:32" s="70" customFormat="1">
      <c r="A33" s="70" t="s">
        <v>158</v>
      </c>
      <c r="B33" s="68">
        <v>45356</v>
      </c>
      <c r="C33" s="68">
        <v>45371</v>
      </c>
      <c r="D33" s="68">
        <v>45373</v>
      </c>
      <c r="E33" s="68">
        <v>45663</v>
      </c>
      <c r="F33" s="68">
        <v>45372</v>
      </c>
      <c r="H33" s="70">
        <v>10000</v>
      </c>
      <c r="I33" s="70">
        <v>40</v>
      </c>
      <c r="J33" s="69">
        <f t="shared" si="0"/>
        <v>4.0000000000000001E-3</v>
      </c>
      <c r="L33" s="69">
        <f t="shared" si="1"/>
        <v>0</v>
      </c>
      <c r="M33" s="70" t="s">
        <v>33</v>
      </c>
      <c r="N33" s="70" t="s">
        <v>159</v>
      </c>
      <c r="O33" s="70" t="s">
        <v>94</v>
      </c>
      <c r="P33" s="70" t="s">
        <v>171</v>
      </c>
      <c r="Q33" s="70" t="s">
        <v>37</v>
      </c>
      <c r="R33" s="70" t="s">
        <v>88</v>
      </c>
      <c r="S33" s="70">
        <v>1</v>
      </c>
      <c r="T33" s="70">
        <v>250</v>
      </c>
      <c r="U33" s="70" t="s">
        <v>172</v>
      </c>
      <c r="V33" s="70" t="s">
        <v>110</v>
      </c>
      <c r="W33" s="70" t="s">
        <v>53</v>
      </c>
      <c r="Y33" s="70" t="s">
        <v>44</v>
      </c>
      <c r="Z33" s="70" t="s">
        <v>162</v>
      </c>
      <c r="AA33" s="70" t="s">
        <v>44</v>
      </c>
      <c r="AB33" s="70" t="s">
        <v>47</v>
      </c>
      <c r="AC33" s="70" t="s">
        <v>163</v>
      </c>
      <c r="AD33" s="291" t="s">
        <v>164</v>
      </c>
      <c r="AF33" s="67" t="s">
        <v>47</v>
      </c>
    </row>
    <row r="34" spans="1:32" s="70" customFormat="1">
      <c r="A34" s="70" t="s">
        <v>158</v>
      </c>
      <c r="B34" s="68">
        <v>45356</v>
      </c>
      <c r="C34" s="68">
        <v>45371</v>
      </c>
      <c r="D34" s="68">
        <v>45373</v>
      </c>
      <c r="E34" s="68">
        <v>45663</v>
      </c>
      <c r="F34" s="68">
        <v>45372</v>
      </c>
      <c r="H34" s="70">
        <v>10000</v>
      </c>
      <c r="I34" s="70">
        <v>40</v>
      </c>
      <c r="J34" s="69">
        <f t="shared" si="0"/>
        <v>4.0000000000000001E-3</v>
      </c>
      <c r="L34" s="69">
        <f t="shared" si="1"/>
        <v>0</v>
      </c>
      <c r="M34" s="70" t="s">
        <v>33</v>
      </c>
      <c r="N34" s="70" t="s">
        <v>159</v>
      </c>
      <c r="O34" s="70" t="s">
        <v>94</v>
      </c>
      <c r="P34" s="70" t="s">
        <v>173</v>
      </c>
      <c r="Q34" s="70" t="s">
        <v>37</v>
      </c>
      <c r="R34" s="70" t="s">
        <v>88</v>
      </c>
      <c r="S34" s="70">
        <v>1</v>
      </c>
      <c r="T34" s="70">
        <v>250</v>
      </c>
      <c r="U34" s="70" t="s">
        <v>174</v>
      </c>
      <c r="V34" s="70" t="s">
        <v>110</v>
      </c>
      <c r="W34" s="70" t="s">
        <v>53</v>
      </c>
      <c r="Y34" s="70" t="s">
        <v>44</v>
      </c>
      <c r="Z34" s="70" t="s">
        <v>162</v>
      </c>
      <c r="AA34" s="70" t="s">
        <v>44</v>
      </c>
      <c r="AB34" s="70" t="s">
        <v>47</v>
      </c>
      <c r="AC34" s="70" t="s">
        <v>163</v>
      </c>
      <c r="AD34" s="291" t="s">
        <v>164</v>
      </c>
      <c r="AF34" s="67" t="s">
        <v>47</v>
      </c>
    </row>
    <row r="35" spans="1:32" s="70" customFormat="1">
      <c r="A35" s="70" t="s">
        <v>158</v>
      </c>
      <c r="B35" s="68">
        <v>45356</v>
      </c>
      <c r="C35" s="68">
        <v>45371</v>
      </c>
      <c r="D35" s="68">
        <v>45373</v>
      </c>
      <c r="E35" s="68">
        <v>45663</v>
      </c>
      <c r="F35" s="68">
        <v>45372</v>
      </c>
      <c r="H35" s="70">
        <v>10000</v>
      </c>
      <c r="I35" s="70">
        <v>40</v>
      </c>
      <c r="J35" s="69">
        <f t="shared" si="0"/>
        <v>4.0000000000000001E-3</v>
      </c>
      <c r="L35" s="69">
        <f t="shared" si="1"/>
        <v>0</v>
      </c>
      <c r="M35" s="70" t="s">
        <v>33</v>
      </c>
      <c r="N35" s="70" t="s">
        <v>159</v>
      </c>
      <c r="O35" s="70" t="s">
        <v>94</v>
      </c>
      <c r="P35" s="70" t="s">
        <v>175</v>
      </c>
      <c r="Q35" s="70" t="s">
        <v>37</v>
      </c>
      <c r="R35" s="70" t="s">
        <v>88</v>
      </c>
      <c r="S35" s="70">
        <v>1</v>
      </c>
      <c r="T35" s="70">
        <v>250</v>
      </c>
      <c r="U35" s="70" t="s">
        <v>176</v>
      </c>
      <c r="V35" s="70" t="s">
        <v>110</v>
      </c>
      <c r="W35" s="70" t="s">
        <v>53</v>
      </c>
      <c r="Y35" s="70" t="s">
        <v>44</v>
      </c>
      <c r="Z35" s="70" t="s">
        <v>162</v>
      </c>
      <c r="AA35" s="70" t="s">
        <v>44</v>
      </c>
      <c r="AB35" s="70" t="s">
        <v>47</v>
      </c>
      <c r="AC35" s="70" t="s">
        <v>163</v>
      </c>
      <c r="AD35" s="291" t="s">
        <v>164</v>
      </c>
      <c r="AF35" s="67" t="s">
        <v>47</v>
      </c>
    </row>
    <row r="36" spans="1:32" s="70" customFormat="1">
      <c r="A36" s="70" t="s">
        <v>158</v>
      </c>
      <c r="B36" s="68">
        <v>45356</v>
      </c>
      <c r="C36" s="68">
        <v>45371</v>
      </c>
      <c r="D36" s="68">
        <v>45373</v>
      </c>
      <c r="E36" s="68">
        <v>45663</v>
      </c>
      <c r="F36" s="68">
        <v>45372</v>
      </c>
      <c r="H36" s="70">
        <v>10000</v>
      </c>
      <c r="I36" s="70">
        <v>40</v>
      </c>
      <c r="J36" s="69">
        <f t="shared" si="0"/>
        <v>4.0000000000000001E-3</v>
      </c>
      <c r="L36" s="69">
        <f t="shared" si="1"/>
        <v>0</v>
      </c>
      <c r="M36" s="70" t="s">
        <v>33</v>
      </c>
      <c r="N36" s="70" t="s">
        <v>159</v>
      </c>
      <c r="O36" s="70" t="s">
        <v>94</v>
      </c>
      <c r="P36" s="70" t="s">
        <v>177</v>
      </c>
      <c r="Q36" s="70" t="s">
        <v>37</v>
      </c>
      <c r="R36" s="70" t="s">
        <v>88</v>
      </c>
      <c r="S36" s="70">
        <v>1</v>
      </c>
      <c r="T36" s="70">
        <v>250</v>
      </c>
      <c r="U36" s="70" t="s">
        <v>178</v>
      </c>
      <c r="V36" s="70" t="s">
        <v>110</v>
      </c>
      <c r="W36" s="70" t="s">
        <v>53</v>
      </c>
      <c r="Y36" s="70" t="s">
        <v>44</v>
      </c>
      <c r="Z36" s="70" t="s">
        <v>162</v>
      </c>
      <c r="AA36" s="70" t="s">
        <v>44</v>
      </c>
      <c r="AB36" s="70" t="s">
        <v>47</v>
      </c>
      <c r="AC36" s="70" t="s">
        <v>163</v>
      </c>
      <c r="AD36" s="291" t="s">
        <v>164</v>
      </c>
      <c r="AF36" s="67" t="s">
        <v>47</v>
      </c>
    </row>
    <row r="37" spans="1:32" s="70" customFormat="1">
      <c r="A37" s="70" t="s">
        <v>158</v>
      </c>
      <c r="B37" s="68">
        <v>45356</v>
      </c>
      <c r="C37" s="68">
        <v>45371</v>
      </c>
      <c r="D37" s="68">
        <v>45373</v>
      </c>
      <c r="E37" s="68">
        <v>45663</v>
      </c>
      <c r="F37" s="68">
        <v>45372</v>
      </c>
      <c r="H37" s="70">
        <v>10000</v>
      </c>
      <c r="I37" s="70">
        <v>40</v>
      </c>
      <c r="J37" s="69">
        <f t="shared" si="0"/>
        <v>4.0000000000000001E-3</v>
      </c>
      <c r="L37" s="69">
        <f t="shared" si="1"/>
        <v>0</v>
      </c>
      <c r="M37" s="70" t="s">
        <v>33</v>
      </c>
      <c r="N37" s="70" t="s">
        <v>159</v>
      </c>
      <c r="O37" s="70" t="s">
        <v>94</v>
      </c>
      <c r="P37" s="70" t="s">
        <v>179</v>
      </c>
      <c r="Q37" s="70" t="s">
        <v>37</v>
      </c>
      <c r="R37" s="70" t="s">
        <v>88</v>
      </c>
      <c r="S37" s="70">
        <v>1</v>
      </c>
      <c r="T37" s="70">
        <v>250</v>
      </c>
      <c r="U37" s="70" t="s">
        <v>180</v>
      </c>
      <c r="V37" s="70" t="s">
        <v>110</v>
      </c>
      <c r="W37" s="70" t="s">
        <v>53</v>
      </c>
      <c r="Y37" s="70" t="s">
        <v>44</v>
      </c>
      <c r="Z37" s="70" t="s">
        <v>162</v>
      </c>
      <c r="AA37" s="70" t="s">
        <v>44</v>
      </c>
      <c r="AB37" s="70" t="s">
        <v>47</v>
      </c>
      <c r="AC37" s="70" t="s">
        <v>163</v>
      </c>
      <c r="AD37" s="291" t="s">
        <v>164</v>
      </c>
      <c r="AF37" s="67" t="s">
        <v>47</v>
      </c>
    </row>
    <row r="38" spans="1:32" s="70" customFormat="1">
      <c r="A38" s="70" t="s">
        <v>158</v>
      </c>
      <c r="B38" s="68">
        <v>45356</v>
      </c>
      <c r="C38" s="68">
        <v>45371</v>
      </c>
      <c r="D38" s="68">
        <v>45373</v>
      </c>
      <c r="E38" s="68">
        <v>45663</v>
      </c>
      <c r="F38" s="68">
        <v>45372</v>
      </c>
      <c r="H38" s="70">
        <v>10000</v>
      </c>
      <c r="I38" s="70">
        <v>40</v>
      </c>
      <c r="J38" s="69">
        <f t="shared" si="0"/>
        <v>4.0000000000000001E-3</v>
      </c>
      <c r="L38" s="69">
        <f t="shared" si="1"/>
        <v>0</v>
      </c>
      <c r="M38" s="70" t="s">
        <v>33</v>
      </c>
      <c r="N38" s="70" t="s">
        <v>159</v>
      </c>
      <c r="O38" s="70" t="s">
        <v>94</v>
      </c>
      <c r="P38" s="70" t="s">
        <v>181</v>
      </c>
      <c r="Q38" s="70" t="s">
        <v>37</v>
      </c>
      <c r="R38" s="70" t="s">
        <v>88</v>
      </c>
      <c r="S38" s="70">
        <v>1</v>
      </c>
      <c r="T38" s="70">
        <v>250</v>
      </c>
      <c r="U38" s="70" t="s">
        <v>182</v>
      </c>
      <c r="V38" s="70" t="s">
        <v>110</v>
      </c>
      <c r="W38" s="70" t="s">
        <v>53</v>
      </c>
      <c r="Y38" s="70" t="s">
        <v>44</v>
      </c>
      <c r="Z38" s="70" t="s">
        <v>162</v>
      </c>
      <c r="AA38" s="70" t="s">
        <v>44</v>
      </c>
      <c r="AB38" s="70" t="s">
        <v>47</v>
      </c>
      <c r="AC38" s="70" t="s">
        <v>163</v>
      </c>
      <c r="AD38" s="291" t="s">
        <v>164</v>
      </c>
      <c r="AF38" s="67" t="s">
        <v>47</v>
      </c>
    </row>
    <row r="39" spans="1:32" s="70" customFormat="1">
      <c r="A39" s="70" t="s">
        <v>158</v>
      </c>
      <c r="B39" s="68">
        <v>45356</v>
      </c>
      <c r="C39" s="68">
        <v>45371</v>
      </c>
      <c r="D39" s="68">
        <v>45373</v>
      </c>
      <c r="E39" s="68">
        <v>45663</v>
      </c>
      <c r="F39" s="68">
        <v>45372</v>
      </c>
      <c r="H39" s="70">
        <v>10000</v>
      </c>
      <c r="I39" s="70">
        <v>40</v>
      </c>
      <c r="J39" s="69">
        <f t="shared" si="0"/>
        <v>4.0000000000000001E-3</v>
      </c>
      <c r="L39" s="69">
        <f t="shared" si="1"/>
        <v>0</v>
      </c>
      <c r="M39" s="70" t="s">
        <v>33</v>
      </c>
      <c r="N39" s="70" t="s">
        <v>159</v>
      </c>
      <c r="O39" s="70" t="s">
        <v>94</v>
      </c>
      <c r="P39" s="70" t="s">
        <v>183</v>
      </c>
      <c r="Q39" s="70" t="s">
        <v>37</v>
      </c>
      <c r="R39" s="70" t="s">
        <v>88</v>
      </c>
      <c r="S39" s="70">
        <v>1</v>
      </c>
      <c r="T39" s="70">
        <v>250</v>
      </c>
      <c r="U39" s="70" t="s">
        <v>184</v>
      </c>
      <c r="V39" s="70" t="s">
        <v>110</v>
      </c>
      <c r="W39" s="70" t="s">
        <v>53</v>
      </c>
      <c r="Y39" s="70" t="s">
        <v>44</v>
      </c>
      <c r="Z39" s="70" t="s">
        <v>162</v>
      </c>
      <c r="AA39" s="70" t="s">
        <v>44</v>
      </c>
      <c r="AB39" s="70" t="s">
        <v>47</v>
      </c>
      <c r="AC39" s="70" t="s">
        <v>163</v>
      </c>
      <c r="AD39" s="291" t="s">
        <v>164</v>
      </c>
      <c r="AF39" s="67" t="s">
        <v>47</v>
      </c>
    </row>
    <row r="40" spans="1:32" s="70" customFormat="1">
      <c r="A40" s="70" t="s">
        <v>158</v>
      </c>
      <c r="B40" s="68">
        <v>45356</v>
      </c>
      <c r="C40" s="68">
        <v>45371</v>
      </c>
      <c r="D40" s="68">
        <v>45373</v>
      </c>
      <c r="E40" s="68">
        <v>45663</v>
      </c>
      <c r="F40" s="68">
        <v>45372</v>
      </c>
      <c r="H40" s="70">
        <v>10000</v>
      </c>
      <c r="I40" s="70">
        <v>40</v>
      </c>
      <c r="J40" s="69">
        <f t="shared" si="0"/>
        <v>4.0000000000000001E-3</v>
      </c>
      <c r="L40" s="69">
        <f t="shared" si="1"/>
        <v>0</v>
      </c>
      <c r="M40" s="70" t="s">
        <v>33</v>
      </c>
      <c r="N40" s="70" t="s">
        <v>159</v>
      </c>
      <c r="O40" s="70" t="s">
        <v>94</v>
      </c>
      <c r="P40" s="70" t="s">
        <v>185</v>
      </c>
      <c r="Q40" s="70" t="s">
        <v>37</v>
      </c>
      <c r="R40" s="70" t="s">
        <v>88</v>
      </c>
      <c r="S40" s="70">
        <v>1</v>
      </c>
      <c r="T40" s="70">
        <v>250</v>
      </c>
      <c r="U40" s="70" t="s">
        <v>186</v>
      </c>
      <c r="V40" s="70" t="s">
        <v>110</v>
      </c>
      <c r="W40" s="70" t="s">
        <v>53</v>
      </c>
      <c r="Y40" s="70" t="s">
        <v>44</v>
      </c>
      <c r="Z40" s="70" t="s">
        <v>162</v>
      </c>
      <c r="AA40" s="70" t="s">
        <v>44</v>
      </c>
      <c r="AB40" s="70" t="s">
        <v>47</v>
      </c>
      <c r="AC40" s="70" t="s">
        <v>163</v>
      </c>
      <c r="AD40" s="291" t="s">
        <v>164</v>
      </c>
      <c r="AF40" s="67" t="s">
        <v>47</v>
      </c>
    </row>
    <row r="41" spans="1:32" s="70" customFormat="1">
      <c r="A41" s="70" t="s">
        <v>158</v>
      </c>
      <c r="B41" s="68">
        <v>45356</v>
      </c>
      <c r="C41" s="68">
        <v>45371</v>
      </c>
      <c r="D41" s="68">
        <v>45373</v>
      </c>
      <c r="E41" s="68">
        <v>45663</v>
      </c>
      <c r="F41" s="68">
        <v>45372</v>
      </c>
      <c r="H41" s="70">
        <v>10000</v>
      </c>
      <c r="I41" s="70">
        <v>40</v>
      </c>
      <c r="J41" s="69">
        <f t="shared" si="0"/>
        <v>4.0000000000000001E-3</v>
      </c>
      <c r="L41" s="69">
        <f t="shared" si="1"/>
        <v>0</v>
      </c>
      <c r="M41" s="70" t="s">
        <v>33</v>
      </c>
      <c r="N41" s="70" t="s">
        <v>159</v>
      </c>
      <c r="O41" s="70" t="s">
        <v>94</v>
      </c>
      <c r="P41" s="70" t="s">
        <v>187</v>
      </c>
      <c r="Q41" s="70" t="s">
        <v>37</v>
      </c>
      <c r="R41" s="70" t="s">
        <v>88</v>
      </c>
      <c r="S41" s="70">
        <v>1</v>
      </c>
      <c r="T41" s="70">
        <v>250</v>
      </c>
      <c r="U41" s="70" t="s">
        <v>188</v>
      </c>
      <c r="V41" s="70" t="s">
        <v>110</v>
      </c>
      <c r="W41" s="70" t="s">
        <v>53</v>
      </c>
      <c r="Y41" s="70" t="s">
        <v>44</v>
      </c>
      <c r="Z41" s="70" t="s">
        <v>162</v>
      </c>
      <c r="AA41" s="70" t="s">
        <v>44</v>
      </c>
      <c r="AB41" s="70" t="s">
        <v>47</v>
      </c>
      <c r="AC41" s="70" t="s">
        <v>163</v>
      </c>
      <c r="AD41" s="291" t="s">
        <v>164</v>
      </c>
      <c r="AF41" s="67" t="s">
        <v>47</v>
      </c>
    </row>
    <row r="42" spans="1:32" s="70" customFormat="1">
      <c r="A42" s="70" t="s">
        <v>158</v>
      </c>
      <c r="B42" s="68">
        <v>45356</v>
      </c>
      <c r="C42" s="68">
        <v>45371</v>
      </c>
      <c r="D42" s="68">
        <v>45373</v>
      </c>
      <c r="E42" s="68">
        <v>45663</v>
      </c>
      <c r="F42" s="68">
        <v>45372</v>
      </c>
      <c r="H42" s="70">
        <v>10000</v>
      </c>
      <c r="I42" s="70">
        <v>40</v>
      </c>
      <c r="J42" s="69">
        <f t="shared" si="0"/>
        <v>4.0000000000000001E-3</v>
      </c>
      <c r="L42" s="69">
        <f t="shared" si="1"/>
        <v>0</v>
      </c>
      <c r="M42" s="70" t="s">
        <v>33</v>
      </c>
      <c r="N42" s="70" t="s">
        <v>159</v>
      </c>
      <c r="O42" s="70" t="s">
        <v>94</v>
      </c>
      <c r="P42" s="70" t="s">
        <v>189</v>
      </c>
      <c r="Q42" s="70" t="s">
        <v>37</v>
      </c>
      <c r="R42" s="70" t="s">
        <v>88</v>
      </c>
      <c r="S42" s="70">
        <v>1</v>
      </c>
      <c r="T42" s="70">
        <v>250</v>
      </c>
      <c r="U42" s="70" t="s">
        <v>190</v>
      </c>
      <c r="V42" s="70" t="s">
        <v>110</v>
      </c>
      <c r="W42" s="70" t="s">
        <v>53</v>
      </c>
      <c r="Y42" s="70" t="s">
        <v>44</v>
      </c>
      <c r="Z42" s="70" t="s">
        <v>162</v>
      </c>
      <c r="AA42" s="70" t="s">
        <v>44</v>
      </c>
      <c r="AB42" s="70" t="s">
        <v>47</v>
      </c>
      <c r="AC42" s="70" t="s">
        <v>163</v>
      </c>
      <c r="AD42" s="291" t="s">
        <v>164</v>
      </c>
      <c r="AF42" s="67" t="s">
        <v>47</v>
      </c>
    </row>
    <row r="43" spans="1:32" s="70" customFormat="1">
      <c r="A43" s="70" t="s">
        <v>158</v>
      </c>
      <c r="B43" s="68">
        <v>45356</v>
      </c>
      <c r="C43" s="68">
        <v>45371</v>
      </c>
      <c r="D43" s="68">
        <v>45373</v>
      </c>
      <c r="E43" s="68">
        <v>45663</v>
      </c>
      <c r="F43" s="68">
        <v>45372</v>
      </c>
      <c r="H43" s="70">
        <v>10000</v>
      </c>
      <c r="I43" s="70">
        <v>40</v>
      </c>
      <c r="J43" s="69">
        <f t="shared" si="0"/>
        <v>4.0000000000000001E-3</v>
      </c>
      <c r="L43" s="69">
        <f t="shared" si="1"/>
        <v>0</v>
      </c>
      <c r="M43" s="70" t="s">
        <v>33</v>
      </c>
      <c r="N43" s="70" t="s">
        <v>159</v>
      </c>
      <c r="O43" s="70" t="s">
        <v>94</v>
      </c>
      <c r="P43" s="70" t="s">
        <v>191</v>
      </c>
      <c r="Q43" s="70" t="s">
        <v>37</v>
      </c>
      <c r="R43" s="70" t="s">
        <v>88</v>
      </c>
      <c r="S43" s="70">
        <v>1</v>
      </c>
      <c r="T43" s="70">
        <v>250</v>
      </c>
      <c r="U43" s="70" t="s">
        <v>192</v>
      </c>
      <c r="V43" s="70" t="s">
        <v>110</v>
      </c>
      <c r="W43" s="70" t="s">
        <v>53</v>
      </c>
      <c r="Y43" s="70" t="s">
        <v>44</v>
      </c>
      <c r="Z43" s="70" t="s">
        <v>162</v>
      </c>
      <c r="AA43" s="70" t="s">
        <v>44</v>
      </c>
      <c r="AB43" s="70" t="s">
        <v>47</v>
      </c>
      <c r="AC43" s="70" t="s">
        <v>163</v>
      </c>
      <c r="AD43" s="291" t="s">
        <v>164</v>
      </c>
      <c r="AF43" s="67" t="s">
        <v>47</v>
      </c>
    </row>
    <row r="44" spans="1:32" s="70" customFormat="1">
      <c r="A44" s="70" t="s">
        <v>158</v>
      </c>
      <c r="B44" s="68">
        <v>45356</v>
      </c>
      <c r="C44" s="68">
        <v>45371</v>
      </c>
      <c r="D44" s="68">
        <v>45373</v>
      </c>
      <c r="E44" s="68">
        <v>45663</v>
      </c>
      <c r="F44" s="68">
        <v>45372</v>
      </c>
      <c r="H44" s="70">
        <v>10000</v>
      </c>
      <c r="I44" s="70">
        <v>40</v>
      </c>
      <c r="J44" s="69">
        <f t="shared" si="0"/>
        <v>4.0000000000000001E-3</v>
      </c>
      <c r="L44" s="69">
        <f t="shared" si="1"/>
        <v>0</v>
      </c>
      <c r="M44" s="70" t="s">
        <v>33</v>
      </c>
      <c r="N44" s="70" t="s">
        <v>159</v>
      </c>
      <c r="O44" s="70" t="s">
        <v>94</v>
      </c>
      <c r="P44" s="70" t="s">
        <v>193</v>
      </c>
      <c r="Q44" s="70" t="s">
        <v>37</v>
      </c>
      <c r="R44" s="70" t="s">
        <v>88</v>
      </c>
      <c r="S44" s="70">
        <v>1</v>
      </c>
      <c r="T44" s="70">
        <v>250</v>
      </c>
      <c r="U44" s="70" t="s">
        <v>194</v>
      </c>
      <c r="V44" s="70" t="s">
        <v>110</v>
      </c>
      <c r="W44" s="70" t="s">
        <v>53</v>
      </c>
      <c r="Y44" s="70" t="s">
        <v>44</v>
      </c>
      <c r="Z44" s="70" t="s">
        <v>162</v>
      </c>
      <c r="AA44" s="70" t="s">
        <v>44</v>
      </c>
      <c r="AB44" s="70" t="s">
        <v>47</v>
      </c>
      <c r="AC44" s="70" t="s">
        <v>163</v>
      </c>
      <c r="AD44" s="291" t="s">
        <v>164</v>
      </c>
      <c r="AF44" s="67" t="s">
        <v>47</v>
      </c>
    </row>
    <row r="45" spans="1:32" s="70" customFormat="1">
      <c r="A45" s="70" t="s">
        <v>158</v>
      </c>
      <c r="B45" s="68">
        <v>45356</v>
      </c>
      <c r="C45" s="68">
        <v>45371</v>
      </c>
      <c r="D45" s="68">
        <v>45373</v>
      </c>
      <c r="E45" s="68">
        <v>45663</v>
      </c>
      <c r="F45" s="68">
        <v>45372</v>
      </c>
      <c r="H45" s="70">
        <v>10000</v>
      </c>
      <c r="I45" s="70">
        <v>40</v>
      </c>
      <c r="J45" s="69">
        <f t="shared" si="0"/>
        <v>4.0000000000000001E-3</v>
      </c>
      <c r="L45" s="69">
        <f t="shared" si="1"/>
        <v>0</v>
      </c>
      <c r="M45" s="70" t="s">
        <v>33</v>
      </c>
      <c r="N45" s="70" t="s">
        <v>159</v>
      </c>
      <c r="O45" s="70" t="s">
        <v>94</v>
      </c>
      <c r="P45" s="70" t="s">
        <v>195</v>
      </c>
      <c r="Q45" s="70" t="s">
        <v>37</v>
      </c>
      <c r="R45" s="70" t="s">
        <v>88</v>
      </c>
      <c r="S45" s="70">
        <v>1</v>
      </c>
      <c r="T45" s="70">
        <v>250</v>
      </c>
      <c r="U45" s="70" t="s">
        <v>196</v>
      </c>
      <c r="V45" s="70" t="s">
        <v>110</v>
      </c>
      <c r="W45" s="70" t="s">
        <v>53</v>
      </c>
      <c r="Y45" s="70" t="s">
        <v>44</v>
      </c>
      <c r="Z45" s="70" t="s">
        <v>162</v>
      </c>
      <c r="AA45" s="70" t="s">
        <v>44</v>
      </c>
      <c r="AB45" s="70" t="s">
        <v>47</v>
      </c>
      <c r="AC45" s="70" t="s">
        <v>163</v>
      </c>
      <c r="AD45" s="291" t="s">
        <v>164</v>
      </c>
      <c r="AF45" s="67" t="s">
        <v>47</v>
      </c>
    </row>
    <row r="46" spans="1:32" s="70" customFormat="1">
      <c r="A46" s="70" t="s">
        <v>158</v>
      </c>
      <c r="B46" s="68">
        <v>45356</v>
      </c>
      <c r="C46" s="68">
        <v>45371</v>
      </c>
      <c r="D46" s="68">
        <v>45373</v>
      </c>
      <c r="E46" s="68">
        <v>45663</v>
      </c>
      <c r="F46" s="68">
        <v>45372</v>
      </c>
      <c r="H46" s="70">
        <v>10000</v>
      </c>
      <c r="I46" s="70">
        <v>40</v>
      </c>
      <c r="J46" s="69">
        <f t="shared" si="0"/>
        <v>4.0000000000000001E-3</v>
      </c>
      <c r="L46" s="69">
        <f t="shared" si="1"/>
        <v>0</v>
      </c>
      <c r="M46" s="70" t="s">
        <v>33</v>
      </c>
      <c r="N46" s="70" t="s">
        <v>159</v>
      </c>
      <c r="O46" s="70" t="s">
        <v>94</v>
      </c>
      <c r="P46" s="70" t="s">
        <v>197</v>
      </c>
      <c r="Q46" s="70" t="s">
        <v>37</v>
      </c>
      <c r="R46" s="70" t="s">
        <v>88</v>
      </c>
      <c r="S46" s="70">
        <v>1</v>
      </c>
      <c r="T46" s="70">
        <v>250</v>
      </c>
      <c r="U46" s="70" t="s">
        <v>198</v>
      </c>
      <c r="V46" s="70" t="s">
        <v>110</v>
      </c>
      <c r="W46" s="70" t="s">
        <v>53</v>
      </c>
      <c r="Y46" s="70" t="s">
        <v>44</v>
      </c>
      <c r="Z46" s="70" t="s">
        <v>162</v>
      </c>
      <c r="AA46" s="70" t="s">
        <v>44</v>
      </c>
      <c r="AB46" s="70" t="s">
        <v>47</v>
      </c>
      <c r="AC46" s="70" t="s">
        <v>163</v>
      </c>
      <c r="AD46" s="291" t="s">
        <v>164</v>
      </c>
      <c r="AF46" s="67" t="s">
        <v>47</v>
      </c>
    </row>
    <row r="47" spans="1:32" s="70" customFormat="1">
      <c r="A47" s="70" t="s">
        <v>158</v>
      </c>
      <c r="B47" s="68">
        <v>45356</v>
      </c>
      <c r="C47" s="68">
        <v>45371</v>
      </c>
      <c r="D47" s="68">
        <v>45373</v>
      </c>
      <c r="E47" s="68">
        <v>45663</v>
      </c>
      <c r="F47" s="68">
        <v>45372</v>
      </c>
      <c r="H47" s="70">
        <v>10000</v>
      </c>
      <c r="I47" s="70">
        <v>40</v>
      </c>
      <c r="J47" s="69">
        <f t="shared" si="0"/>
        <v>4.0000000000000001E-3</v>
      </c>
      <c r="L47" s="69">
        <f t="shared" si="1"/>
        <v>0</v>
      </c>
      <c r="M47" s="70" t="s">
        <v>33</v>
      </c>
      <c r="N47" s="70" t="s">
        <v>159</v>
      </c>
      <c r="O47" s="70" t="s">
        <v>94</v>
      </c>
      <c r="P47" s="70" t="s">
        <v>199</v>
      </c>
      <c r="Q47" s="70" t="s">
        <v>37</v>
      </c>
      <c r="R47" s="70" t="s">
        <v>88</v>
      </c>
      <c r="S47" s="70">
        <v>1</v>
      </c>
      <c r="T47" s="70">
        <v>250</v>
      </c>
      <c r="U47" s="70" t="s">
        <v>200</v>
      </c>
      <c r="V47" s="70" t="s">
        <v>110</v>
      </c>
      <c r="W47" s="70" t="s">
        <v>53</v>
      </c>
      <c r="Y47" s="70" t="s">
        <v>44</v>
      </c>
      <c r="Z47" s="70" t="s">
        <v>162</v>
      </c>
      <c r="AA47" s="70" t="s">
        <v>44</v>
      </c>
      <c r="AB47" s="70" t="s">
        <v>47</v>
      </c>
      <c r="AC47" s="70" t="s">
        <v>163</v>
      </c>
      <c r="AD47" s="291" t="s">
        <v>164</v>
      </c>
      <c r="AF47" s="67" t="s">
        <v>47</v>
      </c>
    </row>
    <row r="48" spans="1:32" s="70" customFormat="1">
      <c r="A48" s="70" t="s">
        <v>158</v>
      </c>
      <c r="B48" s="68">
        <v>45356</v>
      </c>
      <c r="C48" s="68">
        <v>45371</v>
      </c>
      <c r="D48" s="68">
        <v>45373</v>
      </c>
      <c r="E48" s="68">
        <v>45663</v>
      </c>
      <c r="F48" s="68">
        <v>45372</v>
      </c>
      <c r="H48" s="70">
        <v>10000</v>
      </c>
      <c r="I48" s="70">
        <v>40</v>
      </c>
      <c r="J48" s="69">
        <f t="shared" si="0"/>
        <v>4.0000000000000001E-3</v>
      </c>
      <c r="L48" s="69">
        <f t="shared" si="1"/>
        <v>0</v>
      </c>
      <c r="M48" s="70" t="s">
        <v>33</v>
      </c>
      <c r="N48" s="70" t="s">
        <v>159</v>
      </c>
      <c r="O48" s="70" t="s">
        <v>94</v>
      </c>
      <c r="P48" s="70" t="s">
        <v>201</v>
      </c>
      <c r="Q48" s="70" t="s">
        <v>37</v>
      </c>
      <c r="R48" s="70" t="s">
        <v>88</v>
      </c>
      <c r="S48" s="70">
        <v>1</v>
      </c>
      <c r="T48" s="70">
        <v>250</v>
      </c>
      <c r="U48" s="70" t="s">
        <v>202</v>
      </c>
      <c r="V48" s="70" t="s">
        <v>110</v>
      </c>
      <c r="W48" s="70" t="s">
        <v>53</v>
      </c>
      <c r="Y48" s="70" t="s">
        <v>44</v>
      </c>
      <c r="Z48" s="70" t="s">
        <v>162</v>
      </c>
      <c r="AA48" s="70" t="s">
        <v>44</v>
      </c>
      <c r="AB48" s="70" t="s">
        <v>47</v>
      </c>
      <c r="AC48" s="70" t="s">
        <v>163</v>
      </c>
      <c r="AD48" s="291" t="s">
        <v>164</v>
      </c>
      <c r="AF48" s="67" t="s">
        <v>47</v>
      </c>
    </row>
    <row r="49" spans="1:32" s="70" customFormat="1">
      <c r="A49" s="70" t="s">
        <v>158</v>
      </c>
      <c r="B49" s="68">
        <v>45356</v>
      </c>
      <c r="C49" s="68">
        <v>45371</v>
      </c>
      <c r="D49" s="68">
        <v>45373</v>
      </c>
      <c r="E49" s="68">
        <v>45663</v>
      </c>
      <c r="F49" s="68">
        <v>45372</v>
      </c>
      <c r="H49" s="70">
        <v>10000</v>
      </c>
      <c r="I49" s="70">
        <v>40</v>
      </c>
      <c r="J49" s="69">
        <f t="shared" si="0"/>
        <v>4.0000000000000001E-3</v>
      </c>
      <c r="L49" s="69">
        <f t="shared" si="1"/>
        <v>0</v>
      </c>
      <c r="M49" s="70" t="s">
        <v>33</v>
      </c>
      <c r="N49" s="70" t="s">
        <v>159</v>
      </c>
      <c r="O49" s="70" t="s">
        <v>94</v>
      </c>
      <c r="P49" s="70" t="s">
        <v>203</v>
      </c>
      <c r="Q49" s="70" t="s">
        <v>37</v>
      </c>
      <c r="R49" s="70" t="s">
        <v>88</v>
      </c>
      <c r="S49" s="70">
        <v>1</v>
      </c>
      <c r="T49" s="70">
        <v>250</v>
      </c>
      <c r="U49" s="70" t="s">
        <v>204</v>
      </c>
      <c r="V49" s="70" t="s">
        <v>110</v>
      </c>
      <c r="W49" s="70" t="s">
        <v>53</v>
      </c>
      <c r="Y49" s="70" t="s">
        <v>44</v>
      </c>
      <c r="Z49" s="70" t="s">
        <v>162</v>
      </c>
      <c r="AA49" s="70" t="s">
        <v>44</v>
      </c>
      <c r="AB49" s="70" t="s">
        <v>47</v>
      </c>
      <c r="AC49" s="70" t="s">
        <v>163</v>
      </c>
      <c r="AD49" s="291" t="s">
        <v>164</v>
      </c>
      <c r="AF49" s="67" t="s">
        <v>47</v>
      </c>
    </row>
    <row r="50" spans="1:32" s="70" customFormat="1">
      <c r="A50" s="70" t="s">
        <v>158</v>
      </c>
      <c r="B50" s="68">
        <v>45356</v>
      </c>
      <c r="C50" s="68">
        <v>45371</v>
      </c>
      <c r="D50" s="68">
        <v>45373</v>
      </c>
      <c r="E50" s="68">
        <v>45663</v>
      </c>
      <c r="F50" s="68">
        <v>45372</v>
      </c>
      <c r="H50" s="70">
        <v>10000</v>
      </c>
      <c r="I50" s="70">
        <v>40</v>
      </c>
      <c r="J50" s="69">
        <f t="shared" si="0"/>
        <v>4.0000000000000001E-3</v>
      </c>
      <c r="L50" s="69">
        <f t="shared" si="1"/>
        <v>0</v>
      </c>
      <c r="M50" s="70" t="s">
        <v>33</v>
      </c>
      <c r="N50" s="70" t="s">
        <v>159</v>
      </c>
      <c r="O50" s="70" t="s">
        <v>94</v>
      </c>
      <c r="P50" s="70" t="s">
        <v>205</v>
      </c>
      <c r="Q50" s="70" t="s">
        <v>37</v>
      </c>
      <c r="R50" s="70" t="s">
        <v>88</v>
      </c>
      <c r="S50" s="70">
        <v>1</v>
      </c>
      <c r="T50" s="70">
        <v>250</v>
      </c>
      <c r="U50" s="70" t="s">
        <v>206</v>
      </c>
      <c r="V50" s="70" t="s">
        <v>110</v>
      </c>
      <c r="W50" s="70" t="s">
        <v>53</v>
      </c>
      <c r="Y50" s="70" t="s">
        <v>44</v>
      </c>
      <c r="Z50" s="70" t="s">
        <v>162</v>
      </c>
      <c r="AA50" s="70" t="s">
        <v>44</v>
      </c>
      <c r="AB50" s="70" t="s">
        <v>47</v>
      </c>
      <c r="AC50" s="70" t="s">
        <v>163</v>
      </c>
      <c r="AD50" s="291" t="s">
        <v>164</v>
      </c>
      <c r="AF50" s="67" t="s">
        <v>47</v>
      </c>
    </row>
    <row r="51" spans="1:32" s="70" customFormat="1">
      <c r="A51" s="70" t="s">
        <v>158</v>
      </c>
      <c r="B51" s="68">
        <v>45356</v>
      </c>
      <c r="C51" s="68">
        <v>45371</v>
      </c>
      <c r="D51" s="68">
        <v>45373</v>
      </c>
      <c r="E51" s="68">
        <v>45663</v>
      </c>
      <c r="F51" s="68">
        <v>45372</v>
      </c>
      <c r="H51" s="70">
        <v>10000</v>
      </c>
      <c r="I51" s="70">
        <v>40</v>
      </c>
      <c r="J51" s="69">
        <f t="shared" si="0"/>
        <v>4.0000000000000001E-3</v>
      </c>
      <c r="L51" s="69">
        <f t="shared" si="1"/>
        <v>0</v>
      </c>
      <c r="M51" s="70" t="s">
        <v>33</v>
      </c>
      <c r="N51" s="70" t="s">
        <v>159</v>
      </c>
      <c r="O51" s="70" t="s">
        <v>94</v>
      </c>
      <c r="P51" s="70" t="s">
        <v>207</v>
      </c>
      <c r="Q51" s="70" t="s">
        <v>37</v>
      </c>
      <c r="R51" s="70" t="s">
        <v>88</v>
      </c>
      <c r="S51" s="70">
        <v>1</v>
      </c>
      <c r="T51" s="70">
        <v>250</v>
      </c>
      <c r="U51" s="70" t="s">
        <v>208</v>
      </c>
      <c r="V51" s="70" t="s">
        <v>110</v>
      </c>
      <c r="W51" s="70" t="s">
        <v>53</v>
      </c>
      <c r="Y51" s="70" t="s">
        <v>44</v>
      </c>
      <c r="Z51" s="70" t="s">
        <v>162</v>
      </c>
      <c r="AA51" s="70" t="s">
        <v>44</v>
      </c>
      <c r="AB51" s="70" t="s">
        <v>47</v>
      </c>
      <c r="AC51" s="70" t="s">
        <v>163</v>
      </c>
      <c r="AD51" s="291" t="s">
        <v>164</v>
      </c>
      <c r="AF51" s="67" t="s">
        <v>47</v>
      </c>
    </row>
    <row r="52" spans="1:32" s="70" customFormat="1">
      <c r="A52" s="70" t="s">
        <v>158</v>
      </c>
      <c r="B52" s="68">
        <v>45356</v>
      </c>
      <c r="C52" s="68">
        <v>45371</v>
      </c>
      <c r="D52" s="68">
        <v>45373</v>
      </c>
      <c r="E52" s="68">
        <v>45663</v>
      </c>
      <c r="F52" s="68">
        <v>45372</v>
      </c>
      <c r="H52" s="70">
        <v>10000</v>
      </c>
      <c r="I52" s="70">
        <v>40</v>
      </c>
      <c r="J52" s="69">
        <f t="shared" si="0"/>
        <v>4.0000000000000001E-3</v>
      </c>
      <c r="L52" s="69">
        <f t="shared" si="1"/>
        <v>0</v>
      </c>
      <c r="M52" s="70" t="s">
        <v>33</v>
      </c>
      <c r="N52" s="70" t="s">
        <v>159</v>
      </c>
      <c r="O52" s="70" t="s">
        <v>94</v>
      </c>
      <c r="P52" s="70" t="s">
        <v>209</v>
      </c>
      <c r="Q52" s="70" t="s">
        <v>37</v>
      </c>
      <c r="R52" s="70" t="s">
        <v>88</v>
      </c>
      <c r="S52" s="70">
        <v>1</v>
      </c>
      <c r="T52" s="70">
        <v>250</v>
      </c>
      <c r="U52" s="70" t="s">
        <v>210</v>
      </c>
      <c r="V52" s="70" t="s">
        <v>110</v>
      </c>
      <c r="W52" s="70" t="s">
        <v>53</v>
      </c>
      <c r="Y52" s="70" t="s">
        <v>44</v>
      </c>
      <c r="Z52" s="70" t="s">
        <v>162</v>
      </c>
      <c r="AA52" s="70" t="s">
        <v>44</v>
      </c>
      <c r="AB52" s="70" t="s">
        <v>47</v>
      </c>
      <c r="AC52" s="70" t="s">
        <v>163</v>
      </c>
      <c r="AD52" s="291" t="s">
        <v>164</v>
      </c>
      <c r="AF52" s="67" t="s">
        <v>47</v>
      </c>
    </row>
    <row r="53" spans="1:32" s="70" customFormat="1">
      <c r="A53" s="70" t="s">
        <v>158</v>
      </c>
      <c r="B53" s="68">
        <v>45356</v>
      </c>
      <c r="C53" s="68">
        <v>45371</v>
      </c>
      <c r="D53" s="68">
        <v>45373</v>
      </c>
      <c r="E53" s="68">
        <v>45663</v>
      </c>
      <c r="F53" s="68">
        <v>45372</v>
      </c>
      <c r="H53" s="70">
        <v>10000</v>
      </c>
      <c r="I53" s="70">
        <v>40</v>
      </c>
      <c r="J53" s="69">
        <f t="shared" si="0"/>
        <v>4.0000000000000001E-3</v>
      </c>
      <c r="L53" s="69">
        <f t="shared" si="1"/>
        <v>0</v>
      </c>
      <c r="M53" s="70" t="s">
        <v>33</v>
      </c>
      <c r="N53" s="70" t="s">
        <v>159</v>
      </c>
      <c r="O53" s="70" t="s">
        <v>94</v>
      </c>
      <c r="P53" s="70" t="s">
        <v>211</v>
      </c>
      <c r="Q53" s="70" t="s">
        <v>37</v>
      </c>
      <c r="R53" s="70" t="s">
        <v>88</v>
      </c>
      <c r="S53" s="70">
        <v>1</v>
      </c>
      <c r="T53" s="70">
        <v>250</v>
      </c>
      <c r="U53" s="70" t="s">
        <v>212</v>
      </c>
      <c r="V53" s="70" t="s">
        <v>110</v>
      </c>
      <c r="W53" s="70" t="s">
        <v>53</v>
      </c>
      <c r="Y53" s="70" t="s">
        <v>44</v>
      </c>
      <c r="Z53" s="70" t="s">
        <v>162</v>
      </c>
      <c r="AA53" s="70" t="s">
        <v>44</v>
      </c>
      <c r="AB53" s="70" t="s">
        <v>47</v>
      </c>
      <c r="AC53" s="70" t="s">
        <v>163</v>
      </c>
      <c r="AD53" s="291" t="s">
        <v>164</v>
      </c>
      <c r="AF53" s="67" t="s">
        <v>47</v>
      </c>
    </row>
    <row r="54" spans="1:32" s="70" customFormat="1">
      <c r="A54" s="70" t="s">
        <v>158</v>
      </c>
      <c r="B54" s="68">
        <v>45356</v>
      </c>
      <c r="C54" s="68">
        <v>45371</v>
      </c>
      <c r="D54" s="68">
        <v>45373</v>
      </c>
      <c r="E54" s="68">
        <v>45663</v>
      </c>
      <c r="F54" s="68">
        <v>45372</v>
      </c>
      <c r="H54" s="70">
        <v>10000</v>
      </c>
      <c r="I54" s="70">
        <v>40</v>
      </c>
      <c r="J54" s="69">
        <f t="shared" si="0"/>
        <v>4.0000000000000001E-3</v>
      </c>
      <c r="L54" s="69">
        <f t="shared" si="1"/>
        <v>0</v>
      </c>
      <c r="M54" s="70" t="s">
        <v>33</v>
      </c>
      <c r="N54" s="70" t="s">
        <v>159</v>
      </c>
      <c r="O54" s="70" t="s">
        <v>94</v>
      </c>
      <c r="P54" s="70" t="s">
        <v>213</v>
      </c>
      <c r="Q54" s="70" t="s">
        <v>37</v>
      </c>
      <c r="R54" s="70" t="s">
        <v>88</v>
      </c>
      <c r="S54" s="70">
        <v>1</v>
      </c>
      <c r="T54" s="70">
        <v>250</v>
      </c>
      <c r="U54" s="70" t="s">
        <v>214</v>
      </c>
      <c r="V54" s="70" t="s">
        <v>110</v>
      </c>
      <c r="W54" s="70" t="s">
        <v>53</v>
      </c>
      <c r="Y54" s="70" t="s">
        <v>44</v>
      </c>
      <c r="Z54" s="70" t="s">
        <v>162</v>
      </c>
      <c r="AA54" s="70" t="s">
        <v>44</v>
      </c>
      <c r="AB54" s="70" t="s">
        <v>47</v>
      </c>
      <c r="AC54" s="70" t="s">
        <v>163</v>
      </c>
      <c r="AD54" s="291" t="s">
        <v>164</v>
      </c>
      <c r="AF54" s="67" t="s">
        <v>47</v>
      </c>
    </row>
    <row r="55" spans="1:32" s="70" customFormat="1">
      <c r="A55" s="70" t="s">
        <v>158</v>
      </c>
      <c r="B55" s="68">
        <v>45356</v>
      </c>
      <c r="C55" s="68">
        <v>45371</v>
      </c>
      <c r="D55" s="68">
        <v>45373</v>
      </c>
      <c r="E55" s="68">
        <v>45663</v>
      </c>
      <c r="F55" s="68">
        <v>45372</v>
      </c>
      <c r="H55" s="70">
        <v>10000</v>
      </c>
      <c r="I55" s="70">
        <v>40</v>
      </c>
      <c r="J55" s="69">
        <f t="shared" si="0"/>
        <v>4.0000000000000001E-3</v>
      </c>
      <c r="L55" s="69">
        <f t="shared" si="1"/>
        <v>0</v>
      </c>
      <c r="M55" s="70" t="s">
        <v>33</v>
      </c>
      <c r="N55" s="70" t="s">
        <v>159</v>
      </c>
      <c r="O55" s="70" t="s">
        <v>94</v>
      </c>
      <c r="P55" s="70" t="s">
        <v>215</v>
      </c>
      <c r="Q55" s="70" t="s">
        <v>37</v>
      </c>
      <c r="R55" s="70" t="s">
        <v>88</v>
      </c>
      <c r="S55" s="70">
        <v>1</v>
      </c>
      <c r="T55" s="70">
        <v>250</v>
      </c>
      <c r="U55" s="70" t="s">
        <v>216</v>
      </c>
      <c r="V55" s="70" t="s">
        <v>110</v>
      </c>
      <c r="W55" s="70" t="s">
        <v>53</v>
      </c>
      <c r="Y55" s="70" t="s">
        <v>44</v>
      </c>
      <c r="Z55" s="70" t="s">
        <v>162</v>
      </c>
      <c r="AA55" s="70" t="s">
        <v>44</v>
      </c>
      <c r="AB55" s="70" t="s">
        <v>47</v>
      </c>
      <c r="AC55" s="70" t="s">
        <v>163</v>
      </c>
      <c r="AD55" s="291" t="s">
        <v>164</v>
      </c>
      <c r="AF55" s="67" t="s">
        <v>47</v>
      </c>
    </row>
    <row r="56" spans="1:32" s="70" customFormat="1">
      <c r="A56" s="70" t="s">
        <v>158</v>
      </c>
      <c r="B56" s="68">
        <v>45356</v>
      </c>
      <c r="C56" s="68">
        <v>45371</v>
      </c>
      <c r="D56" s="68">
        <v>45373</v>
      </c>
      <c r="E56" s="68">
        <v>45663</v>
      </c>
      <c r="F56" s="68">
        <v>45372</v>
      </c>
      <c r="H56" s="70">
        <v>10000</v>
      </c>
      <c r="I56" s="70">
        <v>40</v>
      </c>
      <c r="J56" s="69">
        <f t="shared" si="0"/>
        <v>4.0000000000000001E-3</v>
      </c>
      <c r="L56" s="69">
        <f t="shared" si="1"/>
        <v>0</v>
      </c>
      <c r="M56" s="70" t="s">
        <v>33</v>
      </c>
      <c r="N56" s="70" t="s">
        <v>159</v>
      </c>
      <c r="O56" s="70" t="s">
        <v>94</v>
      </c>
      <c r="P56" s="70" t="s">
        <v>217</v>
      </c>
      <c r="Q56" s="70" t="s">
        <v>37</v>
      </c>
      <c r="R56" s="70" t="s">
        <v>88</v>
      </c>
      <c r="S56" s="70">
        <v>1</v>
      </c>
      <c r="T56" s="70">
        <v>250</v>
      </c>
      <c r="U56" s="70" t="s">
        <v>218</v>
      </c>
      <c r="V56" s="70" t="s">
        <v>110</v>
      </c>
      <c r="W56" s="70" t="s">
        <v>53</v>
      </c>
      <c r="Y56" s="70" t="s">
        <v>44</v>
      </c>
      <c r="Z56" s="70" t="s">
        <v>162</v>
      </c>
      <c r="AA56" s="70" t="s">
        <v>44</v>
      </c>
      <c r="AB56" s="70" t="s">
        <v>47</v>
      </c>
      <c r="AC56" s="70" t="s">
        <v>163</v>
      </c>
      <c r="AD56" s="291" t="s">
        <v>164</v>
      </c>
      <c r="AF56" s="67" t="s">
        <v>47</v>
      </c>
    </row>
    <row r="57" spans="1:32" s="70" customFormat="1">
      <c r="A57" s="70" t="s">
        <v>158</v>
      </c>
      <c r="B57" s="68">
        <v>45356</v>
      </c>
      <c r="C57" s="68">
        <v>45371</v>
      </c>
      <c r="D57" s="68">
        <v>45373</v>
      </c>
      <c r="E57" s="68">
        <v>45663</v>
      </c>
      <c r="F57" s="68">
        <v>45372</v>
      </c>
      <c r="H57" s="70">
        <v>10000</v>
      </c>
      <c r="I57" s="70">
        <v>40</v>
      </c>
      <c r="J57" s="69">
        <f t="shared" si="0"/>
        <v>4.0000000000000001E-3</v>
      </c>
      <c r="L57" s="69">
        <f t="shared" si="1"/>
        <v>0</v>
      </c>
      <c r="M57" s="70" t="s">
        <v>33</v>
      </c>
      <c r="N57" s="70" t="s">
        <v>159</v>
      </c>
      <c r="O57" s="70" t="s">
        <v>94</v>
      </c>
      <c r="P57" s="70" t="s">
        <v>219</v>
      </c>
      <c r="Q57" s="70" t="s">
        <v>37</v>
      </c>
      <c r="R57" s="70" t="s">
        <v>88</v>
      </c>
      <c r="S57" s="70">
        <v>1</v>
      </c>
      <c r="T57" s="70">
        <v>250</v>
      </c>
      <c r="U57" s="70" t="s">
        <v>220</v>
      </c>
      <c r="V57" s="70" t="s">
        <v>110</v>
      </c>
      <c r="W57" s="70" t="s">
        <v>53</v>
      </c>
      <c r="Y57" s="70" t="s">
        <v>44</v>
      </c>
      <c r="Z57" s="70" t="s">
        <v>162</v>
      </c>
      <c r="AA57" s="70" t="s">
        <v>44</v>
      </c>
      <c r="AB57" s="70" t="s">
        <v>47</v>
      </c>
      <c r="AC57" s="70" t="s">
        <v>163</v>
      </c>
      <c r="AD57" s="291" t="s">
        <v>164</v>
      </c>
      <c r="AF57" s="67" t="s">
        <v>47</v>
      </c>
    </row>
    <row r="58" spans="1:32" s="70" customFormat="1">
      <c r="A58" s="70" t="s">
        <v>158</v>
      </c>
      <c r="B58" s="68">
        <v>45356</v>
      </c>
      <c r="C58" s="68">
        <v>45371</v>
      </c>
      <c r="D58" s="68">
        <v>45373</v>
      </c>
      <c r="E58" s="68">
        <v>45663</v>
      </c>
      <c r="F58" s="68">
        <v>45372</v>
      </c>
      <c r="H58" s="70">
        <v>10000</v>
      </c>
      <c r="I58" s="70">
        <v>40</v>
      </c>
      <c r="J58" s="69">
        <f t="shared" si="0"/>
        <v>4.0000000000000001E-3</v>
      </c>
      <c r="L58" s="69">
        <f t="shared" si="1"/>
        <v>0</v>
      </c>
      <c r="M58" s="70" t="s">
        <v>33</v>
      </c>
      <c r="N58" s="70" t="s">
        <v>159</v>
      </c>
      <c r="O58" s="70" t="s">
        <v>94</v>
      </c>
      <c r="P58" s="70" t="s">
        <v>221</v>
      </c>
      <c r="Q58" s="70" t="s">
        <v>37</v>
      </c>
      <c r="R58" s="70" t="s">
        <v>88</v>
      </c>
      <c r="S58" s="70">
        <v>1</v>
      </c>
      <c r="T58" s="70">
        <v>250</v>
      </c>
      <c r="U58" s="70" t="s">
        <v>222</v>
      </c>
      <c r="V58" s="70" t="s">
        <v>110</v>
      </c>
      <c r="W58" s="70" t="s">
        <v>53</v>
      </c>
      <c r="Y58" s="70" t="s">
        <v>44</v>
      </c>
      <c r="Z58" s="70" t="s">
        <v>162</v>
      </c>
      <c r="AA58" s="70" t="s">
        <v>44</v>
      </c>
      <c r="AB58" s="70" t="s">
        <v>47</v>
      </c>
      <c r="AC58" s="70" t="s">
        <v>163</v>
      </c>
      <c r="AD58" s="291" t="s">
        <v>164</v>
      </c>
      <c r="AF58" s="67" t="s">
        <v>47</v>
      </c>
    </row>
    <row r="59" spans="1:32" s="70" customFormat="1">
      <c r="A59" s="70" t="s">
        <v>158</v>
      </c>
      <c r="B59" s="68">
        <v>45356</v>
      </c>
      <c r="C59" s="68">
        <v>45371</v>
      </c>
      <c r="D59" s="68">
        <v>45373</v>
      </c>
      <c r="E59" s="68">
        <v>45663</v>
      </c>
      <c r="F59" s="68">
        <v>45372</v>
      </c>
      <c r="H59" s="70">
        <v>10000</v>
      </c>
      <c r="I59" s="70">
        <v>40</v>
      </c>
      <c r="J59" s="69">
        <f t="shared" si="0"/>
        <v>4.0000000000000001E-3</v>
      </c>
      <c r="L59" s="69">
        <f t="shared" si="1"/>
        <v>0</v>
      </c>
      <c r="M59" s="70" t="s">
        <v>33</v>
      </c>
      <c r="N59" s="70" t="s">
        <v>159</v>
      </c>
      <c r="O59" s="70" t="s">
        <v>94</v>
      </c>
      <c r="P59" s="70" t="s">
        <v>223</v>
      </c>
      <c r="Q59" s="70" t="s">
        <v>37</v>
      </c>
      <c r="R59" s="70" t="s">
        <v>88</v>
      </c>
      <c r="S59" s="70">
        <v>1</v>
      </c>
      <c r="T59" s="70">
        <v>250</v>
      </c>
      <c r="U59" s="70" t="s">
        <v>224</v>
      </c>
      <c r="V59" s="70" t="s">
        <v>110</v>
      </c>
      <c r="W59" s="70" t="s">
        <v>53</v>
      </c>
      <c r="Y59" s="70" t="s">
        <v>44</v>
      </c>
      <c r="Z59" s="70" t="s">
        <v>162</v>
      </c>
      <c r="AA59" s="70" t="s">
        <v>44</v>
      </c>
      <c r="AB59" s="70" t="s">
        <v>47</v>
      </c>
      <c r="AC59" s="70" t="s">
        <v>163</v>
      </c>
      <c r="AD59" s="291" t="s">
        <v>164</v>
      </c>
      <c r="AF59" s="67" t="s">
        <v>47</v>
      </c>
    </row>
    <row r="60" spans="1:32" s="70" customFormat="1">
      <c r="A60" s="70" t="s">
        <v>158</v>
      </c>
      <c r="B60" s="68">
        <v>45356</v>
      </c>
      <c r="C60" s="68">
        <v>45371</v>
      </c>
      <c r="D60" s="68">
        <v>45373</v>
      </c>
      <c r="E60" s="68">
        <v>45663</v>
      </c>
      <c r="F60" s="68">
        <v>45372</v>
      </c>
      <c r="H60" s="70">
        <v>10000</v>
      </c>
      <c r="I60" s="70">
        <v>40</v>
      </c>
      <c r="J60" s="69">
        <f t="shared" si="0"/>
        <v>4.0000000000000001E-3</v>
      </c>
      <c r="L60" s="69">
        <f t="shared" si="1"/>
        <v>0</v>
      </c>
      <c r="M60" s="70" t="s">
        <v>33</v>
      </c>
      <c r="N60" s="70" t="s">
        <v>159</v>
      </c>
      <c r="O60" s="70" t="s">
        <v>94</v>
      </c>
      <c r="P60" s="70" t="s">
        <v>225</v>
      </c>
      <c r="Q60" s="70" t="s">
        <v>37</v>
      </c>
      <c r="R60" s="70" t="s">
        <v>88</v>
      </c>
      <c r="S60" s="70">
        <v>1</v>
      </c>
      <c r="T60" s="70">
        <v>250</v>
      </c>
      <c r="U60" s="70" t="s">
        <v>226</v>
      </c>
      <c r="V60" s="70" t="s">
        <v>110</v>
      </c>
      <c r="W60" s="70" t="s">
        <v>53</v>
      </c>
      <c r="Y60" s="70" t="s">
        <v>44</v>
      </c>
      <c r="Z60" s="70" t="s">
        <v>162</v>
      </c>
      <c r="AA60" s="70" t="s">
        <v>44</v>
      </c>
      <c r="AB60" s="70" t="s">
        <v>47</v>
      </c>
      <c r="AC60" s="70" t="s">
        <v>163</v>
      </c>
      <c r="AD60" s="291" t="s">
        <v>164</v>
      </c>
      <c r="AF60" s="67" t="s">
        <v>47</v>
      </c>
    </row>
    <row r="61" spans="1:32" s="70" customFormat="1">
      <c r="A61" s="70" t="s">
        <v>158</v>
      </c>
      <c r="B61" s="68">
        <v>45356</v>
      </c>
      <c r="C61" s="68">
        <v>45371</v>
      </c>
      <c r="D61" s="68">
        <v>45373</v>
      </c>
      <c r="E61" s="68">
        <v>45663</v>
      </c>
      <c r="F61" s="68">
        <v>45372</v>
      </c>
      <c r="H61" s="70">
        <v>10000</v>
      </c>
      <c r="I61" s="70">
        <v>40</v>
      </c>
      <c r="J61" s="69">
        <f t="shared" si="0"/>
        <v>4.0000000000000001E-3</v>
      </c>
      <c r="L61" s="69">
        <f t="shared" si="1"/>
        <v>0</v>
      </c>
      <c r="M61" s="70" t="s">
        <v>33</v>
      </c>
      <c r="N61" s="70" t="s">
        <v>159</v>
      </c>
      <c r="O61" s="70" t="s">
        <v>94</v>
      </c>
      <c r="P61" s="70" t="s">
        <v>227</v>
      </c>
      <c r="Q61" s="70" t="s">
        <v>37</v>
      </c>
      <c r="R61" s="70" t="s">
        <v>88</v>
      </c>
      <c r="S61" s="70">
        <v>1</v>
      </c>
      <c r="T61" s="70">
        <v>250</v>
      </c>
      <c r="U61" s="70" t="s">
        <v>228</v>
      </c>
      <c r="V61" s="70" t="s">
        <v>110</v>
      </c>
      <c r="W61" s="70" t="s">
        <v>53</v>
      </c>
      <c r="Y61" s="70" t="s">
        <v>44</v>
      </c>
      <c r="Z61" s="70" t="s">
        <v>162</v>
      </c>
      <c r="AA61" s="70" t="s">
        <v>44</v>
      </c>
      <c r="AB61" s="70" t="s">
        <v>47</v>
      </c>
      <c r="AC61" s="70" t="s">
        <v>163</v>
      </c>
      <c r="AD61" s="291" t="s">
        <v>164</v>
      </c>
      <c r="AF61" s="67" t="s">
        <v>47</v>
      </c>
    </row>
    <row r="62" spans="1:32" s="70" customFormat="1">
      <c r="A62" s="70" t="s">
        <v>158</v>
      </c>
      <c r="B62" s="68">
        <v>45356</v>
      </c>
      <c r="C62" s="68">
        <v>45371</v>
      </c>
      <c r="D62" s="68">
        <v>45373</v>
      </c>
      <c r="E62" s="68">
        <v>45663</v>
      </c>
      <c r="F62" s="68">
        <v>45372</v>
      </c>
      <c r="H62" s="70">
        <v>10000</v>
      </c>
      <c r="I62" s="70">
        <v>40</v>
      </c>
      <c r="J62" s="69">
        <f t="shared" si="0"/>
        <v>4.0000000000000001E-3</v>
      </c>
      <c r="L62" s="69">
        <f t="shared" si="1"/>
        <v>0</v>
      </c>
      <c r="M62" s="70" t="s">
        <v>33</v>
      </c>
      <c r="N62" s="70" t="s">
        <v>159</v>
      </c>
      <c r="O62" s="70" t="s">
        <v>94</v>
      </c>
      <c r="P62" s="70" t="s">
        <v>229</v>
      </c>
      <c r="Q62" s="70" t="s">
        <v>37</v>
      </c>
      <c r="R62" s="70" t="s">
        <v>88</v>
      </c>
      <c r="S62" s="70">
        <v>1</v>
      </c>
      <c r="T62" s="70">
        <v>250</v>
      </c>
      <c r="U62" s="70" t="s">
        <v>230</v>
      </c>
      <c r="V62" s="70" t="s">
        <v>110</v>
      </c>
      <c r="W62" s="70" t="s">
        <v>53</v>
      </c>
      <c r="Y62" s="70" t="s">
        <v>44</v>
      </c>
      <c r="Z62" s="70" t="s">
        <v>162</v>
      </c>
      <c r="AA62" s="70" t="s">
        <v>44</v>
      </c>
      <c r="AB62" s="70" t="s">
        <v>47</v>
      </c>
      <c r="AC62" s="70" t="s">
        <v>163</v>
      </c>
      <c r="AD62" s="291" t="s">
        <v>164</v>
      </c>
      <c r="AF62" s="67" t="s">
        <v>47</v>
      </c>
    </row>
    <row r="63" spans="1:32" s="70" customFormat="1">
      <c r="A63" s="70" t="s">
        <v>158</v>
      </c>
      <c r="B63" s="68">
        <v>45356</v>
      </c>
      <c r="C63" s="68">
        <v>45371</v>
      </c>
      <c r="D63" s="68">
        <v>45373</v>
      </c>
      <c r="E63" s="68">
        <v>45663</v>
      </c>
      <c r="F63" s="68">
        <v>45372</v>
      </c>
      <c r="H63" s="70">
        <v>10000</v>
      </c>
      <c r="I63" s="70">
        <v>40</v>
      </c>
      <c r="J63" s="69">
        <f t="shared" si="0"/>
        <v>4.0000000000000001E-3</v>
      </c>
      <c r="L63" s="69">
        <f t="shared" si="1"/>
        <v>0</v>
      </c>
      <c r="M63" s="70" t="s">
        <v>33</v>
      </c>
      <c r="N63" s="70" t="s">
        <v>159</v>
      </c>
      <c r="O63" s="70" t="s">
        <v>94</v>
      </c>
      <c r="P63" s="70" t="s">
        <v>231</v>
      </c>
      <c r="Q63" s="70" t="s">
        <v>37</v>
      </c>
      <c r="R63" s="70" t="s">
        <v>88</v>
      </c>
      <c r="S63" s="70">
        <v>1</v>
      </c>
      <c r="T63" s="70">
        <v>250</v>
      </c>
      <c r="U63" s="70" t="s">
        <v>232</v>
      </c>
      <c r="V63" s="70" t="s">
        <v>110</v>
      </c>
      <c r="W63" s="70" t="s">
        <v>53</v>
      </c>
      <c r="Y63" s="70" t="s">
        <v>44</v>
      </c>
      <c r="Z63" s="70" t="s">
        <v>162</v>
      </c>
      <c r="AA63" s="70" t="s">
        <v>44</v>
      </c>
      <c r="AB63" s="70" t="s">
        <v>47</v>
      </c>
      <c r="AC63" s="70" t="s">
        <v>163</v>
      </c>
      <c r="AD63" s="291" t="s">
        <v>164</v>
      </c>
      <c r="AF63" s="67" t="s">
        <v>47</v>
      </c>
    </row>
    <row r="64" spans="1:32" s="70" customFormat="1">
      <c r="A64" s="70" t="s">
        <v>158</v>
      </c>
      <c r="B64" s="68">
        <v>45356</v>
      </c>
      <c r="C64" s="68">
        <v>45371</v>
      </c>
      <c r="D64" s="68">
        <v>45373</v>
      </c>
      <c r="E64" s="68">
        <v>45663</v>
      </c>
      <c r="F64" s="68">
        <v>45372</v>
      </c>
      <c r="H64" s="70">
        <v>10000</v>
      </c>
      <c r="I64" s="70">
        <v>40</v>
      </c>
      <c r="J64" s="69">
        <f t="shared" si="0"/>
        <v>4.0000000000000001E-3</v>
      </c>
      <c r="L64" s="69">
        <f t="shared" si="1"/>
        <v>0</v>
      </c>
      <c r="M64" s="70" t="s">
        <v>33</v>
      </c>
      <c r="N64" s="70" t="s">
        <v>159</v>
      </c>
      <c r="O64" s="70" t="s">
        <v>94</v>
      </c>
      <c r="P64" s="70" t="s">
        <v>233</v>
      </c>
      <c r="Q64" s="70" t="s">
        <v>37</v>
      </c>
      <c r="R64" s="70" t="s">
        <v>88</v>
      </c>
      <c r="S64" s="70">
        <v>1</v>
      </c>
      <c r="T64" s="70">
        <v>250</v>
      </c>
      <c r="U64" s="70" t="s">
        <v>234</v>
      </c>
      <c r="V64" s="70" t="s">
        <v>110</v>
      </c>
      <c r="W64" s="70" t="s">
        <v>53</v>
      </c>
      <c r="Y64" s="70" t="s">
        <v>44</v>
      </c>
      <c r="Z64" s="70" t="s">
        <v>162</v>
      </c>
      <c r="AA64" s="70" t="s">
        <v>44</v>
      </c>
      <c r="AB64" s="70" t="s">
        <v>47</v>
      </c>
      <c r="AC64" s="70" t="s">
        <v>163</v>
      </c>
      <c r="AD64" s="291" t="s">
        <v>164</v>
      </c>
      <c r="AF64" s="67" t="s">
        <v>47</v>
      </c>
    </row>
    <row r="65" spans="1:32" s="70" customFormat="1">
      <c r="A65" s="70" t="s">
        <v>158</v>
      </c>
      <c r="B65" s="68">
        <v>45356</v>
      </c>
      <c r="C65" s="68">
        <v>45371</v>
      </c>
      <c r="D65" s="68">
        <v>45373</v>
      </c>
      <c r="E65" s="68">
        <v>45663</v>
      </c>
      <c r="F65" s="68">
        <v>45372</v>
      </c>
      <c r="H65" s="70">
        <v>10000</v>
      </c>
      <c r="I65" s="70">
        <v>40</v>
      </c>
      <c r="J65" s="69">
        <f t="shared" si="0"/>
        <v>4.0000000000000001E-3</v>
      </c>
      <c r="L65" s="69">
        <f t="shared" si="1"/>
        <v>0</v>
      </c>
      <c r="M65" s="70" t="s">
        <v>33</v>
      </c>
      <c r="N65" s="70" t="s">
        <v>159</v>
      </c>
      <c r="O65" s="70" t="s">
        <v>94</v>
      </c>
      <c r="P65" s="70" t="s">
        <v>235</v>
      </c>
      <c r="Q65" s="70" t="s">
        <v>37</v>
      </c>
      <c r="R65" s="70" t="s">
        <v>88</v>
      </c>
      <c r="S65" s="70">
        <v>1</v>
      </c>
      <c r="T65" s="70">
        <v>250</v>
      </c>
      <c r="U65" s="70" t="s">
        <v>236</v>
      </c>
      <c r="V65" s="70" t="s">
        <v>110</v>
      </c>
      <c r="W65" s="70" t="s">
        <v>53</v>
      </c>
      <c r="Y65" s="70" t="s">
        <v>44</v>
      </c>
      <c r="Z65" s="70" t="s">
        <v>162</v>
      </c>
      <c r="AA65" s="70" t="s">
        <v>44</v>
      </c>
      <c r="AB65" s="70" t="s">
        <v>47</v>
      </c>
      <c r="AC65" s="70" t="s">
        <v>163</v>
      </c>
      <c r="AD65" s="291" t="s">
        <v>164</v>
      </c>
      <c r="AF65" s="67" t="s">
        <v>47</v>
      </c>
    </row>
    <row r="66" spans="1:32" s="70" customFormat="1">
      <c r="A66" s="70" t="s">
        <v>158</v>
      </c>
      <c r="B66" s="68">
        <v>45356</v>
      </c>
      <c r="C66" s="68">
        <v>45371</v>
      </c>
      <c r="D66" s="68">
        <v>45373</v>
      </c>
      <c r="E66" s="68">
        <v>45663</v>
      </c>
      <c r="F66" s="68">
        <v>45372</v>
      </c>
      <c r="H66" s="70">
        <v>10000</v>
      </c>
      <c r="I66" s="70">
        <v>40</v>
      </c>
      <c r="J66" s="69">
        <f t="shared" ref="J66:J83" si="5">+I66/H66</f>
        <v>4.0000000000000001E-3</v>
      </c>
      <c r="L66" s="69">
        <f t="shared" ref="L66:L128" si="6">K66/H66</f>
        <v>0</v>
      </c>
      <c r="M66" s="70" t="s">
        <v>33</v>
      </c>
      <c r="N66" s="70" t="s">
        <v>159</v>
      </c>
      <c r="O66" s="70" t="s">
        <v>94</v>
      </c>
      <c r="P66" s="70" t="s">
        <v>237</v>
      </c>
      <c r="Q66" s="70" t="s">
        <v>37</v>
      </c>
      <c r="R66" s="70" t="s">
        <v>88</v>
      </c>
      <c r="S66" s="70">
        <v>1</v>
      </c>
      <c r="T66" s="70">
        <v>250</v>
      </c>
      <c r="U66" s="70" t="s">
        <v>238</v>
      </c>
      <c r="V66" s="70" t="s">
        <v>110</v>
      </c>
      <c r="W66" s="70" t="s">
        <v>53</v>
      </c>
      <c r="Y66" s="70" t="s">
        <v>44</v>
      </c>
      <c r="Z66" s="70" t="s">
        <v>162</v>
      </c>
      <c r="AA66" s="70" t="s">
        <v>44</v>
      </c>
      <c r="AB66" s="70" t="s">
        <v>47</v>
      </c>
      <c r="AC66" s="70" t="s">
        <v>163</v>
      </c>
      <c r="AD66" s="291" t="s">
        <v>164</v>
      </c>
      <c r="AF66" s="67" t="s">
        <v>47</v>
      </c>
    </row>
    <row r="67" spans="1:32" s="70" customFormat="1">
      <c r="A67" s="70" t="s">
        <v>158</v>
      </c>
      <c r="B67" s="68">
        <v>45356</v>
      </c>
      <c r="C67" s="68">
        <v>45371</v>
      </c>
      <c r="D67" s="68">
        <v>45373</v>
      </c>
      <c r="E67" s="68">
        <v>45663</v>
      </c>
      <c r="F67" s="68">
        <v>45372</v>
      </c>
      <c r="H67" s="70">
        <v>10000</v>
      </c>
      <c r="I67" s="70">
        <v>40</v>
      </c>
      <c r="J67" s="69">
        <f t="shared" si="5"/>
        <v>4.0000000000000001E-3</v>
      </c>
      <c r="L67" s="69">
        <f t="shared" si="6"/>
        <v>0</v>
      </c>
      <c r="M67" s="70" t="s">
        <v>33</v>
      </c>
      <c r="N67" s="70" t="s">
        <v>159</v>
      </c>
      <c r="O67" s="70" t="s">
        <v>94</v>
      </c>
      <c r="P67" s="70" t="s">
        <v>239</v>
      </c>
      <c r="Q67" s="70" t="s">
        <v>37</v>
      </c>
      <c r="R67" s="70" t="s">
        <v>88</v>
      </c>
      <c r="S67" s="70">
        <v>1</v>
      </c>
      <c r="T67" s="70">
        <v>250</v>
      </c>
      <c r="U67" s="70" t="s">
        <v>240</v>
      </c>
      <c r="V67" s="70" t="s">
        <v>110</v>
      </c>
      <c r="W67" s="70" t="s">
        <v>53</v>
      </c>
      <c r="Y67" s="70" t="s">
        <v>44</v>
      </c>
      <c r="Z67" s="70" t="s">
        <v>162</v>
      </c>
      <c r="AA67" s="70" t="s">
        <v>44</v>
      </c>
      <c r="AB67" s="70" t="s">
        <v>47</v>
      </c>
      <c r="AC67" s="70" t="s">
        <v>163</v>
      </c>
      <c r="AD67" s="291" t="s">
        <v>164</v>
      </c>
      <c r="AF67" s="67" t="s">
        <v>47</v>
      </c>
    </row>
    <row r="68" spans="1:32" s="70" customFormat="1">
      <c r="A68" s="70" t="s">
        <v>158</v>
      </c>
      <c r="B68" s="68">
        <v>45356</v>
      </c>
      <c r="C68" s="68">
        <v>45371</v>
      </c>
      <c r="D68" s="68">
        <v>45373</v>
      </c>
      <c r="E68" s="68">
        <v>45663</v>
      </c>
      <c r="F68" s="68">
        <v>45372</v>
      </c>
      <c r="H68" s="70">
        <v>10000</v>
      </c>
      <c r="I68" s="70">
        <v>40</v>
      </c>
      <c r="J68" s="69">
        <f t="shared" si="5"/>
        <v>4.0000000000000001E-3</v>
      </c>
      <c r="L68" s="69">
        <f t="shared" si="6"/>
        <v>0</v>
      </c>
      <c r="M68" s="70" t="s">
        <v>33</v>
      </c>
      <c r="N68" s="70" t="s">
        <v>159</v>
      </c>
      <c r="O68" s="70" t="s">
        <v>94</v>
      </c>
      <c r="P68" s="70" t="s">
        <v>241</v>
      </c>
      <c r="Q68" s="70" t="s">
        <v>37</v>
      </c>
      <c r="R68" s="70" t="s">
        <v>88</v>
      </c>
      <c r="S68" s="70">
        <v>1</v>
      </c>
      <c r="T68" s="70">
        <v>250</v>
      </c>
      <c r="U68" s="70" t="s">
        <v>242</v>
      </c>
      <c r="V68" s="70" t="s">
        <v>110</v>
      </c>
      <c r="W68" s="70" t="s">
        <v>53</v>
      </c>
      <c r="Y68" s="70" t="s">
        <v>44</v>
      </c>
      <c r="Z68" s="70" t="s">
        <v>162</v>
      </c>
      <c r="AA68" s="70" t="s">
        <v>44</v>
      </c>
      <c r="AB68" s="70" t="s">
        <v>47</v>
      </c>
      <c r="AC68" s="70" t="s">
        <v>163</v>
      </c>
      <c r="AD68" s="291" t="s">
        <v>164</v>
      </c>
      <c r="AF68" s="67" t="s">
        <v>47</v>
      </c>
    </row>
    <row r="69" spans="1:32" s="70" customFormat="1">
      <c r="A69" s="70" t="s">
        <v>158</v>
      </c>
      <c r="B69" s="68">
        <v>45356</v>
      </c>
      <c r="C69" s="68">
        <v>45371</v>
      </c>
      <c r="D69" s="68">
        <v>45373</v>
      </c>
      <c r="E69" s="68">
        <v>45663</v>
      </c>
      <c r="F69" s="68">
        <v>45372</v>
      </c>
      <c r="H69" s="70">
        <v>10000</v>
      </c>
      <c r="I69" s="70">
        <v>40</v>
      </c>
      <c r="J69" s="69">
        <f t="shared" si="5"/>
        <v>4.0000000000000001E-3</v>
      </c>
      <c r="L69" s="69">
        <f t="shared" si="6"/>
        <v>0</v>
      </c>
      <c r="M69" s="70" t="s">
        <v>33</v>
      </c>
      <c r="N69" s="70" t="s">
        <v>159</v>
      </c>
      <c r="O69" s="70" t="s">
        <v>94</v>
      </c>
      <c r="P69" s="70" t="s">
        <v>243</v>
      </c>
      <c r="Q69" s="70" t="s">
        <v>37</v>
      </c>
      <c r="R69" s="70" t="s">
        <v>88</v>
      </c>
      <c r="S69" s="70">
        <v>1</v>
      </c>
      <c r="T69" s="70">
        <v>250</v>
      </c>
      <c r="U69" s="70" t="s">
        <v>244</v>
      </c>
      <c r="V69" s="70" t="s">
        <v>110</v>
      </c>
      <c r="W69" s="70" t="s">
        <v>53</v>
      </c>
      <c r="Y69" s="70" t="s">
        <v>44</v>
      </c>
      <c r="Z69" s="70" t="s">
        <v>162</v>
      </c>
      <c r="AA69" s="70" t="s">
        <v>44</v>
      </c>
      <c r="AB69" s="70" t="s">
        <v>47</v>
      </c>
      <c r="AC69" s="70" t="s">
        <v>163</v>
      </c>
      <c r="AD69" s="291" t="s">
        <v>164</v>
      </c>
      <c r="AF69" s="67" t="s">
        <v>47</v>
      </c>
    </row>
    <row r="70" spans="1:32" s="70" customFormat="1">
      <c r="A70" s="70" t="s">
        <v>158</v>
      </c>
      <c r="B70" s="68">
        <v>45356</v>
      </c>
      <c r="C70" s="68">
        <v>45371</v>
      </c>
      <c r="D70" s="68">
        <v>45373</v>
      </c>
      <c r="E70" s="68">
        <v>45663</v>
      </c>
      <c r="F70" s="68">
        <v>45372</v>
      </c>
      <c r="H70" s="70">
        <v>10000</v>
      </c>
      <c r="I70" s="70">
        <v>40</v>
      </c>
      <c r="J70" s="69">
        <f t="shared" si="5"/>
        <v>4.0000000000000001E-3</v>
      </c>
      <c r="L70" s="69">
        <f t="shared" si="6"/>
        <v>0</v>
      </c>
      <c r="M70" s="70" t="s">
        <v>33</v>
      </c>
      <c r="N70" s="70" t="s">
        <v>159</v>
      </c>
      <c r="O70" s="70" t="s">
        <v>94</v>
      </c>
      <c r="P70" s="70" t="s">
        <v>245</v>
      </c>
      <c r="Q70" s="70" t="s">
        <v>37</v>
      </c>
      <c r="R70" s="70" t="s">
        <v>88</v>
      </c>
      <c r="S70" s="70">
        <v>1</v>
      </c>
      <c r="T70" s="70">
        <v>250</v>
      </c>
      <c r="U70" s="70" t="s">
        <v>246</v>
      </c>
      <c r="V70" s="70" t="s">
        <v>110</v>
      </c>
      <c r="W70" s="70" t="s">
        <v>53</v>
      </c>
      <c r="Y70" s="70" t="s">
        <v>44</v>
      </c>
      <c r="Z70" s="70" t="s">
        <v>162</v>
      </c>
      <c r="AA70" s="70" t="s">
        <v>44</v>
      </c>
      <c r="AB70" s="70" t="s">
        <v>47</v>
      </c>
      <c r="AC70" s="70" t="s">
        <v>163</v>
      </c>
      <c r="AD70" s="291" t="s">
        <v>164</v>
      </c>
      <c r="AF70" s="67" t="s">
        <v>47</v>
      </c>
    </row>
    <row r="71" spans="1:32" s="70" customFormat="1">
      <c r="A71" s="70" t="s">
        <v>158</v>
      </c>
      <c r="B71" s="68">
        <v>45356</v>
      </c>
      <c r="C71" s="68">
        <v>45371</v>
      </c>
      <c r="D71" s="68">
        <v>45373</v>
      </c>
      <c r="E71" s="68">
        <v>45663</v>
      </c>
      <c r="F71" s="68">
        <v>45372</v>
      </c>
      <c r="H71" s="70">
        <v>10000</v>
      </c>
      <c r="I71" s="70">
        <v>40</v>
      </c>
      <c r="J71" s="69">
        <f t="shared" si="5"/>
        <v>4.0000000000000001E-3</v>
      </c>
      <c r="L71" s="69">
        <f t="shared" si="6"/>
        <v>0</v>
      </c>
      <c r="M71" s="70" t="s">
        <v>33</v>
      </c>
      <c r="N71" s="70" t="s">
        <v>159</v>
      </c>
      <c r="O71" s="70" t="s">
        <v>94</v>
      </c>
      <c r="P71" s="70" t="s">
        <v>247</v>
      </c>
      <c r="Q71" s="70" t="s">
        <v>37</v>
      </c>
      <c r="R71" s="70" t="s">
        <v>88</v>
      </c>
      <c r="S71" s="70">
        <v>1</v>
      </c>
      <c r="T71" s="70">
        <v>250</v>
      </c>
      <c r="U71" s="70" t="s">
        <v>248</v>
      </c>
      <c r="V71" s="70" t="s">
        <v>110</v>
      </c>
      <c r="W71" s="70" t="s">
        <v>53</v>
      </c>
      <c r="Y71" s="70" t="s">
        <v>44</v>
      </c>
      <c r="Z71" s="70" t="s">
        <v>162</v>
      </c>
      <c r="AA71" s="70" t="s">
        <v>44</v>
      </c>
      <c r="AB71" s="70" t="s">
        <v>47</v>
      </c>
      <c r="AC71" s="70" t="s">
        <v>163</v>
      </c>
      <c r="AD71" s="291" t="s">
        <v>164</v>
      </c>
      <c r="AF71" s="67" t="s">
        <v>47</v>
      </c>
    </row>
    <row r="72" spans="1:32" s="70" customFormat="1">
      <c r="A72" s="70" t="s">
        <v>158</v>
      </c>
      <c r="B72" s="68">
        <v>45356</v>
      </c>
      <c r="C72" s="68">
        <v>45371</v>
      </c>
      <c r="D72" s="68">
        <v>45373</v>
      </c>
      <c r="E72" s="68">
        <v>45663</v>
      </c>
      <c r="F72" s="68">
        <v>45372</v>
      </c>
      <c r="H72" s="70">
        <v>10000</v>
      </c>
      <c r="I72" s="70">
        <v>40</v>
      </c>
      <c r="J72" s="69">
        <f t="shared" si="5"/>
        <v>4.0000000000000001E-3</v>
      </c>
      <c r="L72" s="69">
        <f t="shared" si="6"/>
        <v>0</v>
      </c>
      <c r="M72" s="70" t="s">
        <v>33</v>
      </c>
      <c r="N72" s="70" t="s">
        <v>159</v>
      </c>
      <c r="O72" s="70" t="s">
        <v>94</v>
      </c>
      <c r="P72" s="70" t="s">
        <v>249</v>
      </c>
      <c r="Q72" s="70" t="s">
        <v>37</v>
      </c>
      <c r="R72" s="70" t="s">
        <v>88</v>
      </c>
      <c r="S72" s="70">
        <v>1</v>
      </c>
      <c r="T72" s="70">
        <v>250</v>
      </c>
      <c r="U72" s="70" t="s">
        <v>250</v>
      </c>
      <c r="V72" s="70" t="s">
        <v>110</v>
      </c>
      <c r="W72" s="70" t="s">
        <v>53</v>
      </c>
      <c r="Y72" s="70" t="s">
        <v>44</v>
      </c>
      <c r="Z72" s="70" t="s">
        <v>162</v>
      </c>
      <c r="AA72" s="70" t="s">
        <v>44</v>
      </c>
      <c r="AB72" s="70" t="s">
        <v>47</v>
      </c>
      <c r="AC72" s="70" t="s">
        <v>163</v>
      </c>
      <c r="AD72" s="291" t="s">
        <v>164</v>
      </c>
      <c r="AF72" s="67" t="s">
        <v>47</v>
      </c>
    </row>
    <row r="73" spans="1:32" s="70" customFormat="1">
      <c r="A73" s="70" t="s">
        <v>158</v>
      </c>
      <c r="B73" s="68">
        <v>45356</v>
      </c>
      <c r="C73" s="68">
        <v>45371</v>
      </c>
      <c r="D73" s="68">
        <v>45373</v>
      </c>
      <c r="E73" s="68">
        <v>45663</v>
      </c>
      <c r="F73" s="68">
        <v>45372</v>
      </c>
      <c r="H73" s="70">
        <v>10000</v>
      </c>
      <c r="I73" s="70">
        <v>40</v>
      </c>
      <c r="J73" s="69">
        <f t="shared" si="5"/>
        <v>4.0000000000000001E-3</v>
      </c>
      <c r="L73" s="69">
        <f t="shared" si="6"/>
        <v>0</v>
      </c>
      <c r="M73" s="70" t="s">
        <v>33</v>
      </c>
      <c r="N73" s="70" t="s">
        <v>159</v>
      </c>
      <c r="O73" s="70" t="s">
        <v>94</v>
      </c>
      <c r="P73" s="70" t="s">
        <v>251</v>
      </c>
      <c r="Q73" s="70" t="s">
        <v>37</v>
      </c>
      <c r="R73" s="70" t="s">
        <v>88</v>
      </c>
      <c r="S73" s="70">
        <v>1</v>
      </c>
      <c r="T73" s="70">
        <v>250</v>
      </c>
      <c r="U73" s="70" t="s">
        <v>252</v>
      </c>
      <c r="V73" s="70" t="s">
        <v>110</v>
      </c>
      <c r="W73" s="70" t="s">
        <v>53</v>
      </c>
      <c r="Y73" s="70" t="s">
        <v>44</v>
      </c>
      <c r="Z73" s="70" t="s">
        <v>162</v>
      </c>
      <c r="AA73" s="70" t="s">
        <v>44</v>
      </c>
      <c r="AB73" s="70" t="s">
        <v>47</v>
      </c>
      <c r="AC73" s="70" t="s">
        <v>163</v>
      </c>
      <c r="AD73" s="291" t="s">
        <v>164</v>
      </c>
      <c r="AF73" s="67" t="s">
        <v>47</v>
      </c>
    </row>
    <row r="74" spans="1:32" s="70" customFormat="1">
      <c r="A74" s="70" t="s">
        <v>158</v>
      </c>
      <c r="B74" s="68">
        <v>45356</v>
      </c>
      <c r="C74" s="68">
        <v>45371</v>
      </c>
      <c r="D74" s="68">
        <v>45373</v>
      </c>
      <c r="E74" s="68">
        <v>45663</v>
      </c>
      <c r="F74" s="68">
        <v>45372</v>
      </c>
      <c r="H74" s="70">
        <v>10000</v>
      </c>
      <c r="I74" s="70">
        <v>40</v>
      </c>
      <c r="J74" s="69">
        <f t="shared" si="5"/>
        <v>4.0000000000000001E-3</v>
      </c>
      <c r="L74" s="69">
        <f t="shared" si="6"/>
        <v>0</v>
      </c>
      <c r="M74" s="70" t="s">
        <v>33</v>
      </c>
      <c r="N74" s="70" t="s">
        <v>159</v>
      </c>
      <c r="O74" s="70" t="s">
        <v>94</v>
      </c>
      <c r="P74" s="70" t="s">
        <v>253</v>
      </c>
      <c r="Q74" s="70" t="s">
        <v>37</v>
      </c>
      <c r="R74" s="70" t="s">
        <v>88</v>
      </c>
      <c r="S74" s="70">
        <v>1</v>
      </c>
      <c r="T74" s="70">
        <v>250</v>
      </c>
      <c r="U74" s="70" t="s">
        <v>254</v>
      </c>
      <c r="V74" s="70" t="s">
        <v>110</v>
      </c>
      <c r="W74" s="70" t="s">
        <v>53</v>
      </c>
      <c r="Y74" s="70" t="s">
        <v>44</v>
      </c>
      <c r="Z74" s="70" t="s">
        <v>162</v>
      </c>
      <c r="AA74" s="70" t="s">
        <v>44</v>
      </c>
      <c r="AB74" s="70" t="s">
        <v>47</v>
      </c>
      <c r="AC74" s="70" t="s">
        <v>163</v>
      </c>
      <c r="AD74" s="291" t="s">
        <v>164</v>
      </c>
      <c r="AF74" s="67" t="s">
        <v>47</v>
      </c>
    </row>
    <row r="75" spans="1:32" s="70" customFormat="1">
      <c r="A75" s="70" t="s">
        <v>155</v>
      </c>
      <c r="B75" s="68">
        <v>45357</v>
      </c>
      <c r="C75" s="68">
        <v>45357</v>
      </c>
      <c r="D75" s="68">
        <v>45373</v>
      </c>
      <c r="E75" s="68">
        <v>45376</v>
      </c>
      <c r="F75" s="68">
        <v>45366</v>
      </c>
      <c r="H75" s="70" t="s">
        <v>139</v>
      </c>
      <c r="I75" s="70" t="s">
        <v>139</v>
      </c>
      <c r="J75" s="69" t="e">
        <f t="shared" si="5"/>
        <v>#VALUE!</v>
      </c>
      <c r="K75" s="70" t="s">
        <v>139</v>
      </c>
      <c r="L75" s="69" t="e">
        <f t="shared" si="6"/>
        <v>#VALUE!</v>
      </c>
      <c r="M75" s="70" t="s">
        <v>72</v>
      </c>
      <c r="N75" s="70" t="s">
        <v>140</v>
      </c>
      <c r="O75" s="70" t="s">
        <v>35</v>
      </c>
      <c r="P75" s="70" t="s">
        <v>255</v>
      </c>
      <c r="Q75" s="70" t="s">
        <v>37</v>
      </c>
      <c r="R75" s="70" t="s">
        <v>88</v>
      </c>
      <c r="S75" s="70" t="s">
        <v>139</v>
      </c>
      <c r="T75" s="70" t="s">
        <v>139</v>
      </c>
      <c r="U75" s="70" t="s">
        <v>256</v>
      </c>
      <c r="V75" s="70" t="s">
        <v>257</v>
      </c>
      <c r="W75" s="70" t="s">
        <v>53</v>
      </c>
      <c r="Y75" s="70" t="s">
        <v>44</v>
      </c>
      <c r="Z75" s="70" t="s">
        <v>258</v>
      </c>
      <c r="AA75" s="70" t="s">
        <v>44</v>
      </c>
      <c r="AB75" s="70" t="s">
        <v>47</v>
      </c>
      <c r="AC75" s="70" t="s">
        <v>259</v>
      </c>
      <c r="AD75" s="296" t="s">
        <v>260</v>
      </c>
      <c r="AF75" s="67" t="s">
        <v>47</v>
      </c>
    </row>
    <row r="76" spans="1:32" s="70" customFormat="1" ht="40.5" customHeight="1">
      <c r="A76" s="70" t="s">
        <v>158</v>
      </c>
      <c r="B76" s="68">
        <v>45358</v>
      </c>
      <c r="C76" s="68">
        <v>45358</v>
      </c>
      <c r="D76" s="68">
        <v>45369</v>
      </c>
      <c r="E76" s="68">
        <v>45400</v>
      </c>
      <c r="F76" s="68">
        <v>45369</v>
      </c>
      <c r="H76" s="70">
        <v>102000</v>
      </c>
      <c r="I76" s="70">
        <v>644</v>
      </c>
      <c r="J76" s="69">
        <f t="shared" si="5"/>
        <v>6.3137254901960782E-3</v>
      </c>
      <c r="L76" s="69">
        <f t="shared" si="6"/>
        <v>0</v>
      </c>
      <c r="M76" s="70" t="s">
        <v>72</v>
      </c>
      <c r="N76" s="70" t="s">
        <v>261</v>
      </c>
      <c r="O76" s="70" t="s">
        <v>262</v>
      </c>
      <c r="P76" s="70" t="s">
        <v>263</v>
      </c>
      <c r="Q76" s="70" t="s">
        <v>37</v>
      </c>
      <c r="R76" s="70" t="s">
        <v>88</v>
      </c>
      <c r="S76" s="70" t="s">
        <v>139</v>
      </c>
      <c r="U76" s="96" t="s">
        <v>264</v>
      </c>
      <c r="V76" s="70" t="s">
        <v>110</v>
      </c>
      <c r="W76" s="70" t="s">
        <v>53</v>
      </c>
      <c r="Y76" s="70" t="s">
        <v>47</v>
      </c>
      <c r="Z76" s="70" t="s">
        <v>265</v>
      </c>
      <c r="AA76" s="70" t="s">
        <v>44</v>
      </c>
      <c r="AB76" s="70" t="s">
        <v>47</v>
      </c>
      <c r="AC76" s="70" t="s">
        <v>266</v>
      </c>
      <c r="AD76" s="291" t="s">
        <v>267</v>
      </c>
      <c r="AF76" s="112" t="s">
        <v>47</v>
      </c>
    </row>
    <row r="77" spans="1:32" s="70" customFormat="1">
      <c r="A77" s="70" t="s">
        <v>158</v>
      </c>
      <c r="B77" s="68">
        <v>45358</v>
      </c>
      <c r="C77" s="68">
        <v>45358</v>
      </c>
      <c r="D77" s="68">
        <v>45358</v>
      </c>
      <c r="E77" s="68">
        <v>45362</v>
      </c>
      <c r="F77" s="68">
        <v>45358</v>
      </c>
      <c r="H77" s="70">
        <v>2000</v>
      </c>
      <c r="I77" s="70">
        <v>100</v>
      </c>
      <c r="J77" s="69">
        <f t="shared" si="5"/>
        <v>0.05</v>
      </c>
      <c r="L77" s="69">
        <f t="shared" si="6"/>
        <v>0</v>
      </c>
      <c r="N77" s="70" t="s">
        <v>268</v>
      </c>
      <c r="O77" s="70" t="s">
        <v>262</v>
      </c>
      <c r="P77" s="70" t="s">
        <v>269</v>
      </c>
      <c r="Q77" s="70" t="s">
        <v>37</v>
      </c>
      <c r="R77" s="70" t="s">
        <v>88</v>
      </c>
      <c r="S77" s="70">
        <v>1</v>
      </c>
      <c r="T77" s="70" t="s">
        <v>139</v>
      </c>
      <c r="U77" s="94" t="s">
        <v>270</v>
      </c>
      <c r="V77" s="70" t="s">
        <v>271</v>
      </c>
      <c r="W77" s="70" t="s">
        <v>53</v>
      </c>
      <c r="X77" s="70" t="s">
        <v>44</v>
      </c>
      <c r="Y77" s="70" t="s">
        <v>44</v>
      </c>
      <c r="Z77" s="70" t="s">
        <v>162</v>
      </c>
      <c r="AA77" s="70" t="s">
        <v>44</v>
      </c>
      <c r="AB77" s="70" t="s">
        <v>47</v>
      </c>
      <c r="AC77" s="70" t="s">
        <v>272</v>
      </c>
      <c r="AD77" s="291" t="s">
        <v>273</v>
      </c>
      <c r="AF77" s="112" t="s">
        <v>47</v>
      </c>
    </row>
    <row r="78" spans="1:32" s="107" customFormat="1" ht="43.5">
      <c r="A78" s="105" t="s">
        <v>274</v>
      </c>
      <c r="B78" s="106">
        <v>45359</v>
      </c>
      <c r="C78" s="106">
        <v>45363</v>
      </c>
      <c r="D78" s="106">
        <v>45379</v>
      </c>
      <c r="E78" s="106">
        <v>45383</v>
      </c>
      <c r="F78" s="106">
        <v>45369</v>
      </c>
      <c r="H78" s="107">
        <v>100000</v>
      </c>
      <c r="I78" s="107">
        <v>600</v>
      </c>
      <c r="J78" s="108">
        <f t="shared" ref="J78:J80" si="7">+I78/H78</f>
        <v>6.0000000000000001E-3</v>
      </c>
      <c r="L78" s="108">
        <f t="shared" ref="L78:L80" si="8">K78/H78</f>
        <v>0</v>
      </c>
      <c r="N78" s="107" t="s">
        <v>136</v>
      </c>
      <c r="O78" s="107" t="s">
        <v>74</v>
      </c>
      <c r="P78" s="107" t="s">
        <v>275</v>
      </c>
      <c r="Q78" s="107" t="s">
        <v>37</v>
      </c>
      <c r="R78" s="107" t="s">
        <v>38</v>
      </c>
      <c r="S78" s="109">
        <v>300000</v>
      </c>
      <c r="T78" s="107" t="s">
        <v>139</v>
      </c>
      <c r="U78" s="110"/>
      <c r="W78" s="107" t="s">
        <v>53</v>
      </c>
      <c r="X78" s="107" t="s">
        <v>44</v>
      </c>
      <c r="Y78" s="107" t="s">
        <v>44</v>
      </c>
      <c r="Z78" s="107" t="s">
        <v>162</v>
      </c>
      <c r="AA78" s="107" t="s">
        <v>44</v>
      </c>
      <c r="AB78" s="107" t="s">
        <v>47</v>
      </c>
      <c r="AC78" s="107" t="s">
        <v>276</v>
      </c>
      <c r="AD78" s="297" t="s">
        <v>277</v>
      </c>
      <c r="AF78" s="111" t="s">
        <v>47</v>
      </c>
    </row>
    <row r="79" spans="1:32" s="70" customFormat="1">
      <c r="A79" s="70" t="s">
        <v>278</v>
      </c>
      <c r="B79" s="68">
        <v>45369</v>
      </c>
      <c r="C79" s="68">
        <v>45373</v>
      </c>
      <c r="D79" s="68">
        <v>45377</v>
      </c>
      <c r="E79" s="68">
        <v>45388</v>
      </c>
      <c r="F79" s="68">
        <v>45376</v>
      </c>
      <c r="H79" s="70">
        <v>100000</v>
      </c>
      <c r="I79" s="70">
        <v>100</v>
      </c>
      <c r="J79" s="69">
        <f t="shared" si="7"/>
        <v>1E-3</v>
      </c>
      <c r="L79" s="69">
        <f t="shared" si="8"/>
        <v>0</v>
      </c>
      <c r="M79" s="70" t="s">
        <v>33</v>
      </c>
      <c r="N79" s="70" t="s">
        <v>93</v>
      </c>
      <c r="O79" s="70" t="s">
        <v>94</v>
      </c>
      <c r="P79" s="70" t="s">
        <v>279</v>
      </c>
      <c r="Q79" s="70" t="s">
        <v>37</v>
      </c>
      <c r="R79" s="70" t="s">
        <v>88</v>
      </c>
      <c r="S79" s="70">
        <v>1</v>
      </c>
      <c r="T79" s="70">
        <v>100</v>
      </c>
      <c r="U79" s="70" t="s">
        <v>280</v>
      </c>
      <c r="V79" s="70">
        <v>1</v>
      </c>
      <c r="W79" s="70" t="s">
        <v>53</v>
      </c>
      <c r="Y79" s="70" t="s">
        <v>44</v>
      </c>
      <c r="Z79" s="70" t="s">
        <v>90</v>
      </c>
      <c r="AA79" s="70" t="s">
        <v>44</v>
      </c>
      <c r="AB79" s="70" t="s">
        <v>47</v>
      </c>
      <c r="AC79" s="70" t="s">
        <v>281</v>
      </c>
      <c r="AD79" s="291" t="s">
        <v>154</v>
      </c>
      <c r="AF79" s="112" t="s">
        <v>47</v>
      </c>
    </row>
    <row r="80" spans="1:32" s="70" customFormat="1" ht="174" customHeight="1">
      <c r="A80" s="104" t="s">
        <v>282</v>
      </c>
      <c r="B80" s="117">
        <v>45369</v>
      </c>
      <c r="C80" s="117">
        <v>45393</v>
      </c>
      <c r="D80" s="117">
        <v>45412</v>
      </c>
      <c r="E80" s="117">
        <v>45415</v>
      </c>
      <c r="F80" s="117"/>
      <c r="G80" s="117">
        <v>45408</v>
      </c>
      <c r="H80" s="147">
        <v>800000</v>
      </c>
      <c r="I80" s="104">
        <v>4000</v>
      </c>
      <c r="J80" s="118">
        <f t="shared" si="7"/>
        <v>5.0000000000000001E-3</v>
      </c>
      <c r="K80" s="104"/>
      <c r="L80" s="118">
        <f t="shared" si="8"/>
        <v>0</v>
      </c>
      <c r="M80" s="104" t="s">
        <v>72</v>
      </c>
      <c r="N80" s="104" t="s">
        <v>136</v>
      </c>
      <c r="O80" s="104" t="s">
        <v>74</v>
      </c>
      <c r="P80" s="119" t="s">
        <v>283</v>
      </c>
      <c r="Q80" s="104" t="s">
        <v>37</v>
      </c>
      <c r="R80" s="104" t="s">
        <v>88</v>
      </c>
      <c r="S80" s="120">
        <v>1</v>
      </c>
      <c r="T80" s="104" t="s">
        <v>139</v>
      </c>
      <c r="U80" s="104" t="s">
        <v>284</v>
      </c>
      <c r="V80" s="104"/>
      <c r="W80" s="104" t="s">
        <v>53</v>
      </c>
      <c r="X80" s="104" t="s">
        <v>44</v>
      </c>
      <c r="Y80" s="104" t="s">
        <v>44</v>
      </c>
      <c r="Z80" s="104" t="s">
        <v>162</v>
      </c>
      <c r="AA80" s="104" t="s">
        <v>44</v>
      </c>
      <c r="AB80" s="70" t="s">
        <v>47</v>
      </c>
      <c r="AC80" s="104" t="s">
        <v>285</v>
      </c>
      <c r="AD80" s="298" t="s">
        <v>286</v>
      </c>
      <c r="AE80" s="104"/>
      <c r="AF80" s="112" t="s">
        <v>47</v>
      </c>
    </row>
    <row r="81" spans="1:32" s="70" customFormat="1">
      <c r="A81" s="70" t="s">
        <v>278</v>
      </c>
      <c r="B81" s="68">
        <v>45370</v>
      </c>
      <c r="C81" s="117">
        <f>D81-14</f>
        <v>45402</v>
      </c>
      <c r="D81" s="68">
        <v>45416</v>
      </c>
      <c r="E81" s="68">
        <v>45416</v>
      </c>
      <c r="F81" s="68">
        <v>45380</v>
      </c>
      <c r="H81" s="70" t="s">
        <v>139</v>
      </c>
      <c r="I81" s="70">
        <v>632</v>
      </c>
      <c r="J81" s="69" t="e">
        <f t="shared" si="5"/>
        <v>#VALUE!</v>
      </c>
      <c r="L81" s="69" t="e">
        <f t="shared" si="6"/>
        <v>#VALUE!</v>
      </c>
      <c r="M81" s="70" t="s">
        <v>33</v>
      </c>
      <c r="N81" s="70" t="s">
        <v>140</v>
      </c>
      <c r="O81" s="70" t="s">
        <v>35</v>
      </c>
      <c r="P81" s="70" t="s">
        <v>287</v>
      </c>
      <c r="Q81" s="70" t="s">
        <v>76</v>
      </c>
      <c r="R81" s="70" t="s">
        <v>88</v>
      </c>
      <c r="S81" s="70">
        <v>1</v>
      </c>
      <c r="T81" s="70" t="s">
        <v>139</v>
      </c>
      <c r="U81" s="70" t="s">
        <v>288</v>
      </c>
      <c r="V81" s="70" t="s">
        <v>271</v>
      </c>
      <c r="W81" s="70" t="s">
        <v>53</v>
      </c>
      <c r="X81" s="70" t="s">
        <v>44</v>
      </c>
      <c r="Y81" s="70" t="s">
        <v>44</v>
      </c>
      <c r="Z81" s="70" t="s">
        <v>289</v>
      </c>
      <c r="AA81" s="70" t="s">
        <v>44</v>
      </c>
      <c r="AB81" s="70" t="s">
        <v>47</v>
      </c>
      <c r="AC81" s="70" t="s">
        <v>290</v>
      </c>
      <c r="AD81" s="291" t="s">
        <v>291</v>
      </c>
      <c r="AF81" s="75" t="s">
        <v>47</v>
      </c>
    </row>
    <row r="82" spans="1:32" s="70" customFormat="1">
      <c r="A82" s="70" t="s">
        <v>278</v>
      </c>
      <c r="B82" s="68">
        <v>45371</v>
      </c>
      <c r="C82" s="68">
        <v>45385</v>
      </c>
      <c r="D82" s="68">
        <v>45387</v>
      </c>
      <c r="E82" s="68">
        <v>45663</v>
      </c>
      <c r="F82" s="68">
        <v>45387</v>
      </c>
      <c r="H82" s="70">
        <v>10000</v>
      </c>
      <c r="I82" s="70">
        <v>40</v>
      </c>
      <c r="J82" s="69">
        <f>+I82/H82</f>
        <v>4.0000000000000001E-3</v>
      </c>
      <c r="L82" s="69">
        <f>K82/H82</f>
        <v>0</v>
      </c>
      <c r="M82" s="70" t="s">
        <v>33</v>
      </c>
      <c r="N82" s="70" t="s">
        <v>159</v>
      </c>
      <c r="O82" s="70" t="s">
        <v>94</v>
      </c>
      <c r="P82" s="70" t="s">
        <v>292</v>
      </c>
      <c r="Q82" s="70" t="s">
        <v>37</v>
      </c>
      <c r="R82" s="70" t="s">
        <v>88</v>
      </c>
      <c r="S82" s="70">
        <v>1</v>
      </c>
      <c r="T82" s="70">
        <v>250</v>
      </c>
      <c r="U82" s="70" t="s">
        <v>293</v>
      </c>
      <c r="V82" s="70" t="s">
        <v>110</v>
      </c>
      <c r="W82" s="70" t="s">
        <v>53</v>
      </c>
      <c r="Y82" s="70" t="s">
        <v>44</v>
      </c>
      <c r="Z82" s="70" t="s">
        <v>162</v>
      </c>
      <c r="AA82" s="70" t="s">
        <v>44</v>
      </c>
      <c r="AB82" s="70" t="s">
        <v>47</v>
      </c>
      <c r="AC82" s="157" t="s">
        <v>294</v>
      </c>
      <c r="AD82" s="291" t="s">
        <v>164</v>
      </c>
      <c r="AF82" s="75" t="s">
        <v>47</v>
      </c>
    </row>
    <row r="83" spans="1:32" s="70" customFormat="1">
      <c r="A83" s="70" t="s">
        <v>278</v>
      </c>
      <c r="B83" s="68">
        <v>45371</v>
      </c>
      <c r="C83" s="68">
        <v>45385</v>
      </c>
      <c r="D83" s="68">
        <v>45387</v>
      </c>
      <c r="E83" s="68">
        <v>45663</v>
      </c>
      <c r="F83" s="68">
        <v>45387</v>
      </c>
      <c r="H83" s="70">
        <v>10000</v>
      </c>
      <c r="I83" s="70">
        <v>40</v>
      </c>
      <c r="J83" s="69">
        <f t="shared" si="5"/>
        <v>4.0000000000000001E-3</v>
      </c>
      <c r="L83" s="69">
        <f t="shared" si="6"/>
        <v>0</v>
      </c>
      <c r="M83" s="70" t="s">
        <v>33</v>
      </c>
      <c r="N83" s="70" t="s">
        <v>159</v>
      </c>
      <c r="O83" s="70" t="s">
        <v>94</v>
      </c>
      <c r="P83" s="70" t="s">
        <v>295</v>
      </c>
      <c r="Q83" s="70" t="s">
        <v>37</v>
      </c>
      <c r="R83" s="70" t="s">
        <v>88</v>
      </c>
      <c r="S83" s="70">
        <v>1</v>
      </c>
      <c r="T83" s="70">
        <v>250</v>
      </c>
      <c r="U83" s="70" t="s">
        <v>296</v>
      </c>
      <c r="V83" s="70" t="s">
        <v>110</v>
      </c>
      <c r="W83" s="70" t="s">
        <v>53</v>
      </c>
      <c r="Y83" s="70" t="s">
        <v>44</v>
      </c>
      <c r="Z83" s="70" t="s">
        <v>162</v>
      </c>
      <c r="AA83" s="70" t="s">
        <v>44</v>
      </c>
      <c r="AB83" s="70" t="s">
        <v>47</v>
      </c>
      <c r="AC83" s="157" t="s">
        <v>294</v>
      </c>
      <c r="AD83" s="291" t="s">
        <v>164</v>
      </c>
      <c r="AF83" s="75" t="s">
        <v>47</v>
      </c>
    </row>
    <row r="84" spans="1:32" s="70" customFormat="1">
      <c r="A84" s="70" t="s">
        <v>278</v>
      </c>
      <c r="B84" s="68">
        <v>45371</v>
      </c>
      <c r="C84" s="68">
        <v>45385</v>
      </c>
      <c r="D84" s="68">
        <v>45387</v>
      </c>
      <c r="E84" s="68">
        <v>45663</v>
      </c>
      <c r="F84" s="68">
        <v>45387</v>
      </c>
      <c r="H84" s="70">
        <v>10000</v>
      </c>
      <c r="I84" s="70">
        <v>40</v>
      </c>
      <c r="L84" s="69">
        <f t="shared" si="6"/>
        <v>0</v>
      </c>
      <c r="M84" s="70" t="s">
        <v>33</v>
      </c>
      <c r="N84" s="70" t="s">
        <v>159</v>
      </c>
      <c r="O84" s="70" t="s">
        <v>94</v>
      </c>
      <c r="P84" s="70" t="s">
        <v>297</v>
      </c>
      <c r="Q84" s="70" t="s">
        <v>37</v>
      </c>
      <c r="R84" s="70" t="s">
        <v>88</v>
      </c>
      <c r="S84" s="70">
        <v>1</v>
      </c>
      <c r="T84" s="70">
        <v>250</v>
      </c>
      <c r="U84" s="70" t="s">
        <v>298</v>
      </c>
      <c r="V84" s="70" t="s">
        <v>110</v>
      </c>
      <c r="W84" s="70" t="s">
        <v>53</v>
      </c>
      <c r="Y84" s="70" t="s">
        <v>44</v>
      </c>
      <c r="Z84" s="70" t="s">
        <v>162</v>
      </c>
      <c r="AA84" s="70" t="s">
        <v>44</v>
      </c>
      <c r="AB84" s="70" t="s">
        <v>47</v>
      </c>
      <c r="AC84" s="157" t="s">
        <v>294</v>
      </c>
      <c r="AD84" s="291" t="s">
        <v>164</v>
      </c>
      <c r="AF84" s="75" t="s">
        <v>47</v>
      </c>
    </row>
    <row r="85" spans="1:32" s="70" customFormat="1">
      <c r="A85" s="70" t="s">
        <v>278</v>
      </c>
      <c r="B85" s="68">
        <v>45371</v>
      </c>
      <c r="C85" s="68">
        <v>45385</v>
      </c>
      <c r="D85" s="68">
        <v>45387</v>
      </c>
      <c r="E85" s="68">
        <v>45663</v>
      </c>
      <c r="F85" s="68">
        <v>45387</v>
      </c>
      <c r="H85" s="70">
        <v>10000</v>
      </c>
      <c r="I85" s="70">
        <v>40</v>
      </c>
      <c r="L85" s="69">
        <f t="shared" si="6"/>
        <v>0</v>
      </c>
      <c r="M85" s="70" t="s">
        <v>33</v>
      </c>
      <c r="N85" s="70" t="s">
        <v>159</v>
      </c>
      <c r="O85" s="70" t="s">
        <v>94</v>
      </c>
      <c r="P85" s="70" t="s">
        <v>299</v>
      </c>
      <c r="Q85" s="70" t="s">
        <v>37</v>
      </c>
      <c r="R85" s="70" t="s">
        <v>88</v>
      </c>
      <c r="S85" s="70">
        <v>1</v>
      </c>
      <c r="T85" s="70">
        <v>250</v>
      </c>
      <c r="U85" s="70" t="s">
        <v>300</v>
      </c>
      <c r="V85" s="70" t="s">
        <v>110</v>
      </c>
      <c r="W85" s="70" t="s">
        <v>53</v>
      </c>
      <c r="Y85" s="70" t="s">
        <v>44</v>
      </c>
      <c r="Z85" s="70" t="s">
        <v>162</v>
      </c>
      <c r="AA85" s="70" t="s">
        <v>44</v>
      </c>
      <c r="AB85" s="70" t="s">
        <v>47</v>
      </c>
      <c r="AC85" s="157" t="s">
        <v>294</v>
      </c>
      <c r="AD85" s="291" t="s">
        <v>164</v>
      </c>
      <c r="AF85" s="75" t="s">
        <v>47</v>
      </c>
    </row>
    <row r="86" spans="1:32" s="70" customFormat="1">
      <c r="A86" s="70" t="s">
        <v>278</v>
      </c>
      <c r="B86" s="68">
        <v>45371</v>
      </c>
      <c r="C86" s="68">
        <v>45385</v>
      </c>
      <c r="D86" s="68">
        <v>45387</v>
      </c>
      <c r="E86" s="68">
        <v>45663</v>
      </c>
      <c r="F86" s="68">
        <v>45387</v>
      </c>
      <c r="H86" s="70">
        <v>10000</v>
      </c>
      <c r="I86" s="70">
        <v>40</v>
      </c>
      <c r="L86" s="69">
        <f t="shared" si="6"/>
        <v>0</v>
      </c>
      <c r="M86" s="70" t="s">
        <v>33</v>
      </c>
      <c r="N86" s="70" t="s">
        <v>159</v>
      </c>
      <c r="O86" s="70" t="s">
        <v>94</v>
      </c>
      <c r="P86" s="70" t="s">
        <v>301</v>
      </c>
      <c r="Q86" s="70" t="s">
        <v>37</v>
      </c>
      <c r="R86" s="70" t="s">
        <v>88</v>
      </c>
      <c r="S86" s="70">
        <v>1</v>
      </c>
      <c r="T86" s="70">
        <v>250</v>
      </c>
      <c r="U86" s="70" t="s">
        <v>302</v>
      </c>
      <c r="V86" s="70" t="s">
        <v>110</v>
      </c>
      <c r="W86" s="70" t="s">
        <v>53</v>
      </c>
      <c r="Y86" s="70" t="s">
        <v>44</v>
      </c>
      <c r="Z86" s="70" t="s">
        <v>162</v>
      </c>
      <c r="AA86" s="70" t="s">
        <v>44</v>
      </c>
      <c r="AB86" s="70" t="s">
        <v>47</v>
      </c>
      <c r="AC86" s="157" t="s">
        <v>294</v>
      </c>
      <c r="AD86" s="291" t="s">
        <v>164</v>
      </c>
      <c r="AF86" s="75" t="s">
        <v>47</v>
      </c>
    </row>
    <row r="87" spans="1:32" s="70" customFormat="1">
      <c r="A87" s="70" t="s">
        <v>278</v>
      </c>
      <c r="B87" s="68">
        <v>45371</v>
      </c>
      <c r="C87" s="68">
        <v>45385</v>
      </c>
      <c r="D87" s="68">
        <v>45387</v>
      </c>
      <c r="E87" s="68">
        <v>45663</v>
      </c>
      <c r="F87" s="68">
        <v>45387</v>
      </c>
      <c r="H87" s="70">
        <v>10000</v>
      </c>
      <c r="I87" s="70">
        <v>40</v>
      </c>
      <c r="L87" s="69">
        <f t="shared" si="6"/>
        <v>0</v>
      </c>
      <c r="M87" s="70" t="s">
        <v>33</v>
      </c>
      <c r="N87" s="70" t="s">
        <v>159</v>
      </c>
      <c r="O87" s="70" t="s">
        <v>94</v>
      </c>
      <c r="P87" s="70" t="s">
        <v>303</v>
      </c>
      <c r="Q87" s="70" t="s">
        <v>37</v>
      </c>
      <c r="R87" s="70" t="s">
        <v>88</v>
      </c>
      <c r="S87" s="70">
        <v>1</v>
      </c>
      <c r="T87" s="70">
        <v>250</v>
      </c>
      <c r="U87" s="70" t="s">
        <v>304</v>
      </c>
      <c r="V87" s="70" t="s">
        <v>110</v>
      </c>
      <c r="W87" s="70" t="s">
        <v>53</v>
      </c>
      <c r="Y87" s="70" t="s">
        <v>44</v>
      </c>
      <c r="Z87" s="70" t="s">
        <v>162</v>
      </c>
      <c r="AA87" s="70" t="s">
        <v>44</v>
      </c>
      <c r="AB87" s="70" t="s">
        <v>47</v>
      </c>
      <c r="AC87" s="157" t="s">
        <v>294</v>
      </c>
      <c r="AD87" s="291" t="s">
        <v>164</v>
      </c>
      <c r="AF87" s="75" t="s">
        <v>47</v>
      </c>
    </row>
    <row r="88" spans="1:32" s="70" customFormat="1">
      <c r="A88" s="70" t="s">
        <v>278</v>
      </c>
      <c r="B88" s="68">
        <v>45371</v>
      </c>
      <c r="C88" s="68">
        <v>45385</v>
      </c>
      <c r="D88" s="68">
        <v>45387</v>
      </c>
      <c r="E88" s="68">
        <v>45663</v>
      </c>
      <c r="F88" s="68">
        <v>45387</v>
      </c>
      <c r="H88" s="70">
        <v>10000</v>
      </c>
      <c r="I88" s="70">
        <v>40</v>
      </c>
      <c r="L88" s="69">
        <f t="shared" si="6"/>
        <v>0</v>
      </c>
      <c r="M88" s="70" t="s">
        <v>33</v>
      </c>
      <c r="N88" s="70" t="s">
        <v>159</v>
      </c>
      <c r="O88" s="70" t="s">
        <v>94</v>
      </c>
      <c r="P88" s="70" t="s">
        <v>305</v>
      </c>
      <c r="Q88" s="70" t="s">
        <v>37</v>
      </c>
      <c r="R88" s="70" t="s">
        <v>88</v>
      </c>
      <c r="S88" s="70">
        <v>1</v>
      </c>
      <c r="T88" s="70">
        <v>250</v>
      </c>
      <c r="U88" s="70" t="s">
        <v>306</v>
      </c>
      <c r="V88" s="70" t="s">
        <v>110</v>
      </c>
      <c r="W88" s="70" t="s">
        <v>53</v>
      </c>
      <c r="Y88" s="70" t="s">
        <v>44</v>
      </c>
      <c r="Z88" s="70" t="s">
        <v>162</v>
      </c>
      <c r="AA88" s="70" t="s">
        <v>44</v>
      </c>
      <c r="AB88" s="70" t="s">
        <v>47</v>
      </c>
      <c r="AC88" s="157" t="s">
        <v>294</v>
      </c>
      <c r="AD88" s="291" t="s">
        <v>164</v>
      </c>
      <c r="AF88" s="75" t="s">
        <v>47</v>
      </c>
    </row>
    <row r="89" spans="1:32" s="70" customFormat="1">
      <c r="A89" s="70" t="s">
        <v>278</v>
      </c>
      <c r="B89" s="68">
        <v>45371</v>
      </c>
      <c r="C89" s="68">
        <v>45385</v>
      </c>
      <c r="D89" s="68">
        <v>45387</v>
      </c>
      <c r="E89" s="68">
        <v>45663</v>
      </c>
      <c r="F89" s="68">
        <v>45387</v>
      </c>
      <c r="H89" s="70">
        <v>10000</v>
      </c>
      <c r="I89" s="70">
        <v>40</v>
      </c>
      <c r="L89" s="69">
        <f t="shared" si="6"/>
        <v>0</v>
      </c>
      <c r="M89" s="70" t="s">
        <v>33</v>
      </c>
      <c r="N89" s="70" t="s">
        <v>159</v>
      </c>
      <c r="O89" s="70" t="s">
        <v>94</v>
      </c>
      <c r="P89" s="70" t="s">
        <v>307</v>
      </c>
      <c r="Q89" s="70" t="s">
        <v>37</v>
      </c>
      <c r="R89" s="70" t="s">
        <v>88</v>
      </c>
      <c r="S89" s="70">
        <v>1</v>
      </c>
      <c r="T89" s="70">
        <v>250</v>
      </c>
      <c r="U89" s="70" t="s">
        <v>308</v>
      </c>
      <c r="V89" s="70" t="s">
        <v>110</v>
      </c>
      <c r="W89" s="70" t="s">
        <v>53</v>
      </c>
      <c r="Y89" s="70" t="s">
        <v>44</v>
      </c>
      <c r="Z89" s="70" t="s">
        <v>162</v>
      </c>
      <c r="AA89" s="70" t="s">
        <v>44</v>
      </c>
      <c r="AB89" s="70" t="s">
        <v>47</v>
      </c>
      <c r="AC89" s="157" t="s">
        <v>294</v>
      </c>
      <c r="AD89" s="291" t="s">
        <v>164</v>
      </c>
      <c r="AF89" s="75" t="s">
        <v>47</v>
      </c>
    </row>
    <row r="90" spans="1:32" s="70" customFormat="1">
      <c r="A90" s="70" t="s">
        <v>278</v>
      </c>
      <c r="B90" s="68">
        <v>45371</v>
      </c>
      <c r="C90" s="68">
        <v>45385</v>
      </c>
      <c r="D90" s="68">
        <v>45387</v>
      </c>
      <c r="E90" s="68">
        <v>45663</v>
      </c>
      <c r="F90" s="68">
        <v>45387</v>
      </c>
      <c r="H90" s="70">
        <v>10000</v>
      </c>
      <c r="I90" s="70">
        <v>40</v>
      </c>
      <c r="L90" s="69">
        <f t="shared" si="6"/>
        <v>0</v>
      </c>
      <c r="M90" s="70" t="s">
        <v>33</v>
      </c>
      <c r="N90" s="70" t="s">
        <v>159</v>
      </c>
      <c r="O90" s="70" t="s">
        <v>94</v>
      </c>
      <c r="P90" s="70" t="s">
        <v>309</v>
      </c>
      <c r="Q90" s="70" t="s">
        <v>37</v>
      </c>
      <c r="R90" s="70" t="s">
        <v>88</v>
      </c>
      <c r="S90" s="70">
        <v>1</v>
      </c>
      <c r="T90" s="70">
        <v>250</v>
      </c>
      <c r="U90" s="70" t="s">
        <v>310</v>
      </c>
      <c r="V90" s="70" t="s">
        <v>110</v>
      </c>
      <c r="W90" s="70" t="s">
        <v>53</v>
      </c>
      <c r="Y90" s="70" t="s">
        <v>44</v>
      </c>
      <c r="Z90" s="70" t="s">
        <v>162</v>
      </c>
      <c r="AA90" s="70" t="s">
        <v>44</v>
      </c>
      <c r="AB90" s="70" t="s">
        <v>47</v>
      </c>
      <c r="AC90" s="157" t="s">
        <v>294</v>
      </c>
      <c r="AD90" s="291" t="s">
        <v>164</v>
      </c>
      <c r="AF90" s="75" t="s">
        <v>47</v>
      </c>
    </row>
    <row r="91" spans="1:32" s="70" customFormat="1">
      <c r="A91" s="70" t="s">
        <v>278</v>
      </c>
      <c r="B91" s="68">
        <v>45371</v>
      </c>
      <c r="C91" s="68">
        <v>45385</v>
      </c>
      <c r="D91" s="68">
        <v>45387</v>
      </c>
      <c r="E91" s="68">
        <v>45663</v>
      </c>
      <c r="F91" s="68">
        <v>45387</v>
      </c>
      <c r="H91" s="70">
        <v>10000</v>
      </c>
      <c r="I91" s="70">
        <v>40</v>
      </c>
      <c r="L91" s="69">
        <f t="shared" si="6"/>
        <v>0</v>
      </c>
      <c r="M91" s="70" t="s">
        <v>33</v>
      </c>
      <c r="N91" s="70" t="s">
        <v>159</v>
      </c>
      <c r="O91" s="70" t="s">
        <v>94</v>
      </c>
      <c r="P91" s="70" t="s">
        <v>311</v>
      </c>
      <c r="Q91" s="70" t="s">
        <v>37</v>
      </c>
      <c r="R91" s="70" t="s">
        <v>88</v>
      </c>
      <c r="S91" s="70">
        <v>1</v>
      </c>
      <c r="T91" s="70">
        <v>250</v>
      </c>
      <c r="U91" s="70" t="s">
        <v>312</v>
      </c>
      <c r="V91" s="70" t="s">
        <v>110</v>
      </c>
      <c r="W91" s="70" t="s">
        <v>53</v>
      </c>
      <c r="Y91" s="70" t="s">
        <v>44</v>
      </c>
      <c r="Z91" s="70" t="s">
        <v>162</v>
      </c>
      <c r="AA91" s="70" t="s">
        <v>44</v>
      </c>
      <c r="AB91" s="70" t="s">
        <v>47</v>
      </c>
      <c r="AC91" s="157" t="s">
        <v>294</v>
      </c>
      <c r="AD91" s="291" t="s">
        <v>164</v>
      </c>
      <c r="AF91" s="75" t="s">
        <v>47</v>
      </c>
    </row>
    <row r="92" spans="1:32" s="70" customFormat="1">
      <c r="A92" s="70" t="s">
        <v>278</v>
      </c>
      <c r="B92" s="68">
        <v>45371</v>
      </c>
      <c r="C92" s="68">
        <v>45385</v>
      </c>
      <c r="D92" s="68">
        <v>45387</v>
      </c>
      <c r="E92" s="68">
        <v>45663</v>
      </c>
      <c r="F92" s="68">
        <v>45387</v>
      </c>
      <c r="H92" s="70">
        <v>10000</v>
      </c>
      <c r="I92" s="70">
        <v>40</v>
      </c>
      <c r="L92" s="69">
        <f t="shared" si="6"/>
        <v>0</v>
      </c>
      <c r="M92" s="70" t="s">
        <v>33</v>
      </c>
      <c r="N92" s="70" t="s">
        <v>159</v>
      </c>
      <c r="O92" s="70" t="s">
        <v>94</v>
      </c>
      <c r="P92" s="70" t="s">
        <v>313</v>
      </c>
      <c r="Q92" s="70" t="s">
        <v>37</v>
      </c>
      <c r="R92" s="70" t="s">
        <v>88</v>
      </c>
      <c r="S92" s="70">
        <v>1</v>
      </c>
      <c r="T92" s="70">
        <v>250</v>
      </c>
      <c r="U92" s="70" t="s">
        <v>314</v>
      </c>
      <c r="V92" s="70" t="s">
        <v>110</v>
      </c>
      <c r="W92" s="70" t="s">
        <v>53</v>
      </c>
      <c r="Y92" s="70" t="s">
        <v>44</v>
      </c>
      <c r="Z92" s="70" t="s">
        <v>162</v>
      </c>
      <c r="AA92" s="70" t="s">
        <v>44</v>
      </c>
      <c r="AB92" s="70" t="s">
        <v>47</v>
      </c>
      <c r="AC92" s="157" t="s">
        <v>294</v>
      </c>
      <c r="AD92" s="291" t="s">
        <v>164</v>
      </c>
      <c r="AF92" s="75" t="s">
        <v>47</v>
      </c>
    </row>
    <row r="93" spans="1:32" s="70" customFormat="1">
      <c r="A93" s="70" t="s">
        <v>278</v>
      </c>
      <c r="B93" s="68">
        <v>45371</v>
      </c>
      <c r="C93" s="68">
        <v>45385</v>
      </c>
      <c r="D93" s="68">
        <v>45387</v>
      </c>
      <c r="E93" s="68">
        <v>45663</v>
      </c>
      <c r="F93" s="68">
        <v>45387</v>
      </c>
      <c r="H93" s="70">
        <v>10000</v>
      </c>
      <c r="I93" s="70">
        <v>40</v>
      </c>
      <c r="L93" s="69">
        <f t="shared" si="6"/>
        <v>0</v>
      </c>
      <c r="M93" s="70" t="s">
        <v>33</v>
      </c>
      <c r="N93" s="70" t="s">
        <v>159</v>
      </c>
      <c r="O93" s="70" t="s">
        <v>94</v>
      </c>
      <c r="P93" s="70" t="s">
        <v>315</v>
      </c>
      <c r="Q93" s="70" t="s">
        <v>37</v>
      </c>
      <c r="R93" s="70" t="s">
        <v>88</v>
      </c>
      <c r="S93" s="70">
        <v>1</v>
      </c>
      <c r="T93" s="70">
        <v>250</v>
      </c>
      <c r="U93" s="70" t="s">
        <v>316</v>
      </c>
      <c r="V93" s="70" t="s">
        <v>110</v>
      </c>
      <c r="W93" s="70" t="s">
        <v>53</v>
      </c>
      <c r="Y93" s="70" t="s">
        <v>44</v>
      </c>
      <c r="Z93" s="70" t="s">
        <v>162</v>
      </c>
      <c r="AA93" s="70" t="s">
        <v>44</v>
      </c>
      <c r="AB93" s="70" t="s">
        <v>47</v>
      </c>
      <c r="AC93" s="157" t="s">
        <v>294</v>
      </c>
      <c r="AD93" s="291" t="s">
        <v>164</v>
      </c>
      <c r="AF93" s="75" t="s">
        <v>47</v>
      </c>
    </row>
    <row r="94" spans="1:32" s="70" customFormat="1">
      <c r="A94" s="70" t="s">
        <v>317</v>
      </c>
      <c r="B94" s="68">
        <v>414270</v>
      </c>
      <c r="C94" s="68">
        <v>45380</v>
      </c>
      <c r="D94" s="68">
        <v>45380</v>
      </c>
      <c r="E94" s="68">
        <v>45394</v>
      </c>
      <c r="F94" s="68">
        <v>45379</v>
      </c>
      <c r="H94" s="70">
        <v>100000</v>
      </c>
      <c r="I94" s="70">
        <v>100</v>
      </c>
      <c r="J94" s="69">
        <f t="shared" ref="J94:J96" si="9">+I94/H94</f>
        <v>1E-3</v>
      </c>
      <c r="L94" s="69">
        <f t="shared" si="6"/>
        <v>0</v>
      </c>
      <c r="M94" s="70" t="s">
        <v>33</v>
      </c>
      <c r="N94" s="70" t="s">
        <v>93</v>
      </c>
      <c r="O94" s="70" t="s">
        <v>94</v>
      </c>
      <c r="P94" s="70" t="s">
        <v>318</v>
      </c>
      <c r="Q94" s="70" t="s">
        <v>37</v>
      </c>
      <c r="R94" s="70" t="s">
        <v>88</v>
      </c>
      <c r="S94" s="70">
        <v>1</v>
      </c>
      <c r="T94" s="70">
        <v>100</v>
      </c>
      <c r="U94" s="70" t="s">
        <v>319</v>
      </c>
      <c r="V94" s="70">
        <v>1</v>
      </c>
      <c r="W94" s="70" t="s">
        <v>53</v>
      </c>
      <c r="Y94" s="70" t="s">
        <v>44</v>
      </c>
      <c r="Z94" s="70" t="s">
        <v>90</v>
      </c>
      <c r="AA94" s="70" t="s">
        <v>44</v>
      </c>
      <c r="AB94" s="70" t="s">
        <v>47</v>
      </c>
      <c r="AC94" s="70" t="s">
        <v>320</v>
      </c>
      <c r="AD94" s="291" t="s">
        <v>321</v>
      </c>
      <c r="AF94" s="75" t="s">
        <v>47</v>
      </c>
    </row>
    <row r="95" spans="1:32" s="70" customFormat="1">
      <c r="A95" s="70" t="s">
        <v>317</v>
      </c>
      <c r="B95" s="68">
        <v>45376</v>
      </c>
      <c r="C95" s="68">
        <v>45379</v>
      </c>
      <c r="D95" s="68">
        <v>45380</v>
      </c>
      <c r="E95" s="68">
        <v>45388</v>
      </c>
      <c r="F95" s="68">
        <v>45376</v>
      </c>
      <c r="H95" s="70">
        <v>100000</v>
      </c>
      <c r="I95" s="70">
        <v>100</v>
      </c>
      <c r="J95" s="69">
        <f t="shared" si="9"/>
        <v>1E-3</v>
      </c>
      <c r="L95" s="69">
        <f t="shared" si="6"/>
        <v>0</v>
      </c>
      <c r="M95" s="70" t="s">
        <v>33</v>
      </c>
      <c r="N95" s="70" t="s">
        <v>93</v>
      </c>
      <c r="O95" s="70" t="s">
        <v>94</v>
      </c>
      <c r="P95" s="70" t="s">
        <v>279</v>
      </c>
      <c r="Q95" s="70" t="s">
        <v>37</v>
      </c>
      <c r="R95" s="70" t="s">
        <v>88</v>
      </c>
      <c r="S95" s="70">
        <v>1</v>
      </c>
      <c r="T95" s="70">
        <v>100</v>
      </c>
      <c r="U95" s="70" t="s">
        <v>280</v>
      </c>
      <c r="V95" s="70">
        <v>1</v>
      </c>
      <c r="W95" s="70" t="s">
        <v>53</v>
      </c>
      <c r="Y95" s="70" t="s">
        <v>44</v>
      </c>
      <c r="Z95" s="70" t="s">
        <v>90</v>
      </c>
      <c r="AA95" s="70" t="s">
        <v>44</v>
      </c>
      <c r="AB95" s="70" t="s">
        <v>47</v>
      </c>
      <c r="AC95" s="70" t="s">
        <v>281</v>
      </c>
      <c r="AD95" s="291" t="s">
        <v>154</v>
      </c>
      <c r="AE95" s="70" t="s">
        <v>322</v>
      </c>
      <c r="AF95" s="75" t="s">
        <v>47</v>
      </c>
    </row>
    <row r="96" spans="1:32" s="70" customFormat="1" ht="29.1">
      <c r="A96" s="96" t="s">
        <v>323</v>
      </c>
      <c r="B96" s="68">
        <v>45377</v>
      </c>
      <c r="C96" s="68">
        <v>45378</v>
      </c>
      <c r="D96" s="68">
        <v>45381</v>
      </c>
      <c r="E96" s="68">
        <v>45382</v>
      </c>
      <c r="F96" s="68">
        <v>45379</v>
      </c>
      <c r="H96" s="70">
        <v>230000</v>
      </c>
      <c r="I96" s="70">
        <v>1000</v>
      </c>
      <c r="J96" s="69">
        <f t="shared" si="9"/>
        <v>4.3478260869565218E-3</v>
      </c>
      <c r="L96" s="69">
        <f t="shared" si="6"/>
        <v>0</v>
      </c>
      <c r="M96" s="70" t="s">
        <v>72</v>
      </c>
      <c r="N96" s="70" t="s">
        <v>324</v>
      </c>
      <c r="O96" s="70" t="s">
        <v>74</v>
      </c>
      <c r="P96" s="104" t="s">
        <v>325</v>
      </c>
      <c r="Q96" s="70" t="s">
        <v>37</v>
      </c>
      <c r="R96" s="70" t="s">
        <v>88</v>
      </c>
      <c r="U96" s="70" t="s">
        <v>326</v>
      </c>
      <c r="V96" s="70">
        <v>1</v>
      </c>
      <c r="W96" s="70" t="s">
        <v>53</v>
      </c>
      <c r="Y96" s="70" t="s">
        <v>44</v>
      </c>
      <c r="Z96" s="70" t="s">
        <v>162</v>
      </c>
      <c r="AA96" s="70" t="s">
        <v>44</v>
      </c>
      <c r="AB96" s="70" t="s">
        <v>47</v>
      </c>
      <c r="AC96" s="70" t="s">
        <v>327</v>
      </c>
      <c r="AD96" s="296" t="s">
        <v>328</v>
      </c>
      <c r="AF96" s="75" t="s">
        <v>47</v>
      </c>
    </row>
    <row r="97" spans="1:32" s="70" customFormat="1">
      <c r="A97" s="70" t="s">
        <v>329</v>
      </c>
      <c r="B97" s="68">
        <v>45377</v>
      </c>
      <c r="C97" s="68">
        <v>45378</v>
      </c>
      <c r="D97" s="68">
        <v>45386</v>
      </c>
      <c r="E97" s="68">
        <v>45389</v>
      </c>
      <c r="F97" s="68">
        <v>45380</v>
      </c>
      <c r="H97" s="70" t="s">
        <v>139</v>
      </c>
      <c r="I97" s="70">
        <v>1000</v>
      </c>
      <c r="L97" s="69" t="e">
        <f t="shared" si="6"/>
        <v>#VALUE!</v>
      </c>
      <c r="M97" s="70" t="s">
        <v>72</v>
      </c>
      <c r="N97" s="70" t="s">
        <v>140</v>
      </c>
      <c r="O97" s="70" t="s">
        <v>35</v>
      </c>
      <c r="P97" s="70" t="s">
        <v>330</v>
      </c>
      <c r="Q97" s="70" t="s">
        <v>76</v>
      </c>
      <c r="R97" s="70" t="s">
        <v>88</v>
      </c>
      <c r="U97" s="70" t="s">
        <v>331</v>
      </c>
      <c r="V97" s="70" t="s">
        <v>271</v>
      </c>
      <c r="W97" s="70" t="s">
        <v>53</v>
      </c>
      <c r="Y97" s="70" t="s">
        <v>44</v>
      </c>
      <c r="Z97" s="70" t="s">
        <v>43</v>
      </c>
      <c r="AA97" s="70" t="s">
        <v>44</v>
      </c>
      <c r="AB97" s="70" t="s">
        <v>47</v>
      </c>
      <c r="AC97" s="70" t="s">
        <v>332</v>
      </c>
      <c r="AD97" s="296" t="s">
        <v>333</v>
      </c>
      <c r="AF97" s="112" t="s">
        <v>47</v>
      </c>
    </row>
    <row r="98" spans="1:32" s="70" customFormat="1">
      <c r="A98" s="70" t="s">
        <v>334</v>
      </c>
      <c r="B98" s="68">
        <v>45378</v>
      </c>
      <c r="C98" s="68">
        <v>45392</v>
      </c>
      <c r="D98" s="68">
        <v>45392</v>
      </c>
      <c r="E98" s="68">
        <v>45663</v>
      </c>
      <c r="F98" s="68">
        <v>45392</v>
      </c>
      <c r="H98" s="70">
        <v>10000</v>
      </c>
      <c r="I98" s="70">
        <v>40</v>
      </c>
      <c r="L98" s="69">
        <f t="shared" si="6"/>
        <v>0</v>
      </c>
      <c r="M98" s="70" t="s">
        <v>33</v>
      </c>
      <c r="N98" s="70" t="s">
        <v>159</v>
      </c>
      <c r="O98" s="70" t="s">
        <v>94</v>
      </c>
      <c r="P98" s="70" t="s">
        <v>335</v>
      </c>
      <c r="Q98" s="70" t="s">
        <v>37</v>
      </c>
      <c r="R98" s="70" t="s">
        <v>88</v>
      </c>
      <c r="S98" s="70">
        <v>1</v>
      </c>
      <c r="T98" s="70">
        <v>250</v>
      </c>
      <c r="U98" s="70" t="s">
        <v>336</v>
      </c>
      <c r="V98" s="70" t="s">
        <v>110</v>
      </c>
      <c r="W98" s="70" t="s">
        <v>53</v>
      </c>
      <c r="Y98" s="70" t="s">
        <v>44</v>
      </c>
      <c r="Z98" s="70" t="s">
        <v>162</v>
      </c>
      <c r="AA98" s="70" t="s">
        <v>44</v>
      </c>
      <c r="AB98" s="70" t="s">
        <v>47</v>
      </c>
      <c r="AC98" s="70" t="s">
        <v>337</v>
      </c>
      <c r="AD98" s="291" t="s">
        <v>164</v>
      </c>
      <c r="AF98" s="112" t="s">
        <v>47</v>
      </c>
    </row>
    <row r="99" spans="1:32" s="70" customFormat="1">
      <c r="A99" s="70" t="s">
        <v>334</v>
      </c>
      <c r="B99" s="68">
        <v>45378</v>
      </c>
      <c r="C99" s="68">
        <v>45392</v>
      </c>
      <c r="D99" s="68">
        <v>45392</v>
      </c>
      <c r="E99" s="68">
        <v>45663</v>
      </c>
      <c r="F99" s="68">
        <v>45392</v>
      </c>
      <c r="H99" s="70">
        <v>10000</v>
      </c>
      <c r="I99" s="70">
        <v>40</v>
      </c>
      <c r="L99" s="69">
        <f t="shared" si="6"/>
        <v>0</v>
      </c>
      <c r="M99" s="70" t="s">
        <v>33</v>
      </c>
      <c r="N99" s="70" t="s">
        <v>159</v>
      </c>
      <c r="O99" s="70" t="s">
        <v>94</v>
      </c>
      <c r="P99" s="70" t="s">
        <v>338</v>
      </c>
      <c r="Q99" s="70" t="s">
        <v>37</v>
      </c>
      <c r="R99" s="70" t="s">
        <v>88</v>
      </c>
      <c r="S99" s="70">
        <v>1</v>
      </c>
      <c r="T99" s="70">
        <v>250</v>
      </c>
      <c r="U99" s="70" t="s">
        <v>339</v>
      </c>
      <c r="V99" s="70" t="s">
        <v>110</v>
      </c>
      <c r="W99" s="70" t="s">
        <v>53</v>
      </c>
      <c r="Y99" s="70" t="s">
        <v>44</v>
      </c>
      <c r="Z99" s="70" t="s">
        <v>162</v>
      </c>
      <c r="AA99" s="70" t="s">
        <v>44</v>
      </c>
      <c r="AB99" s="70" t="s">
        <v>47</v>
      </c>
      <c r="AC99" s="70" t="s">
        <v>337</v>
      </c>
      <c r="AD99" s="291" t="s">
        <v>164</v>
      </c>
      <c r="AF99" s="112" t="s">
        <v>47</v>
      </c>
    </row>
    <row r="100" spans="1:32" s="70" customFormat="1">
      <c r="A100" s="70" t="s">
        <v>334</v>
      </c>
      <c r="B100" s="68">
        <v>45378</v>
      </c>
      <c r="C100" s="68">
        <v>45392</v>
      </c>
      <c r="D100" s="68">
        <v>45392</v>
      </c>
      <c r="E100" s="68">
        <v>45663</v>
      </c>
      <c r="F100" s="68">
        <v>45392</v>
      </c>
      <c r="H100" s="70">
        <v>10000</v>
      </c>
      <c r="I100" s="70">
        <v>40</v>
      </c>
      <c r="L100" s="69">
        <f t="shared" si="6"/>
        <v>0</v>
      </c>
      <c r="M100" s="70" t="s">
        <v>33</v>
      </c>
      <c r="N100" s="70" t="s">
        <v>159</v>
      </c>
      <c r="O100" s="70" t="s">
        <v>94</v>
      </c>
      <c r="P100" s="70" t="s">
        <v>340</v>
      </c>
      <c r="Q100" s="70" t="s">
        <v>37</v>
      </c>
      <c r="R100" s="70" t="s">
        <v>88</v>
      </c>
      <c r="S100" s="70">
        <v>1</v>
      </c>
      <c r="T100" s="70">
        <v>250</v>
      </c>
      <c r="U100" s="70" t="s">
        <v>341</v>
      </c>
      <c r="V100" s="70" t="s">
        <v>110</v>
      </c>
      <c r="W100" s="70" t="s">
        <v>53</v>
      </c>
      <c r="Y100" s="70" t="s">
        <v>44</v>
      </c>
      <c r="Z100" s="70" t="s">
        <v>162</v>
      </c>
      <c r="AA100" s="70" t="s">
        <v>44</v>
      </c>
      <c r="AB100" s="70" t="s">
        <v>47</v>
      </c>
      <c r="AC100" s="70" t="s">
        <v>337</v>
      </c>
      <c r="AD100" s="291" t="s">
        <v>164</v>
      </c>
      <c r="AF100" s="112" t="s">
        <v>47</v>
      </c>
    </row>
    <row r="101" spans="1:32" s="70" customFormat="1">
      <c r="A101" s="70" t="s">
        <v>334</v>
      </c>
      <c r="B101" s="68">
        <v>45378</v>
      </c>
      <c r="C101" s="68">
        <v>45392</v>
      </c>
      <c r="D101" s="68">
        <v>45392</v>
      </c>
      <c r="E101" s="68">
        <v>45663</v>
      </c>
      <c r="F101" s="68">
        <v>45392</v>
      </c>
      <c r="H101" s="70">
        <v>10000</v>
      </c>
      <c r="I101" s="70">
        <v>40</v>
      </c>
      <c r="L101" s="69">
        <f t="shared" si="6"/>
        <v>0</v>
      </c>
      <c r="M101" s="70" t="s">
        <v>33</v>
      </c>
      <c r="N101" s="70" t="s">
        <v>159</v>
      </c>
      <c r="O101" s="70" t="s">
        <v>94</v>
      </c>
      <c r="P101" s="70" t="s">
        <v>342</v>
      </c>
      <c r="Q101" s="70" t="s">
        <v>37</v>
      </c>
      <c r="R101" s="70" t="s">
        <v>88</v>
      </c>
      <c r="S101" s="70">
        <v>1</v>
      </c>
      <c r="T101" s="70">
        <v>250</v>
      </c>
      <c r="U101" s="70" t="s">
        <v>343</v>
      </c>
      <c r="V101" s="70" t="s">
        <v>110</v>
      </c>
      <c r="W101" s="70" t="s">
        <v>53</v>
      </c>
      <c r="Y101" s="70" t="s">
        <v>44</v>
      </c>
      <c r="Z101" s="70" t="s">
        <v>162</v>
      </c>
      <c r="AA101" s="70" t="s">
        <v>44</v>
      </c>
      <c r="AB101" s="70" t="s">
        <v>47</v>
      </c>
      <c r="AC101" s="70" t="s">
        <v>337</v>
      </c>
      <c r="AD101" s="291" t="s">
        <v>164</v>
      </c>
      <c r="AF101" s="112" t="s">
        <v>47</v>
      </c>
    </row>
    <row r="102" spans="1:32" s="70" customFormat="1">
      <c r="A102" s="70" t="s">
        <v>334</v>
      </c>
      <c r="B102" s="68">
        <v>45378</v>
      </c>
      <c r="C102" s="68">
        <v>45392</v>
      </c>
      <c r="D102" s="68">
        <v>45392</v>
      </c>
      <c r="E102" s="68">
        <v>45663</v>
      </c>
      <c r="F102" s="68">
        <v>45392</v>
      </c>
      <c r="H102" s="70">
        <v>10000</v>
      </c>
      <c r="I102" s="70">
        <v>40</v>
      </c>
      <c r="L102" s="69">
        <f t="shared" si="6"/>
        <v>0</v>
      </c>
      <c r="M102" s="70" t="s">
        <v>33</v>
      </c>
      <c r="N102" s="70" t="s">
        <v>159</v>
      </c>
      <c r="O102" s="70" t="s">
        <v>94</v>
      </c>
      <c r="P102" s="70" t="s">
        <v>344</v>
      </c>
      <c r="Q102" s="70" t="s">
        <v>37</v>
      </c>
      <c r="R102" s="70" t="s">
        <v>88</v>
      </c>
      <c r="S102" s="70">
        <v>1</v>
      </c>
      <c r="T102" s="70">
        <v>250</v>
      </c>
      <c r="U102" s="70" t="s">
        <v>345</v>
      </c>
      <c r="V102" s="70" t="s">
        <v>110</v>
      </c>
      <c r="W102" s="70" t="s">
        <v>53</v>
      </c>
      <c r="Y102" s="70" t="s">
        <v>44</v>
      </c>
      <c r="Z102" s="70" t="s">
        <v>162</v>
      </c>
      <c r="AA102" s="70" t="s">
        <v>44</v>
      </c>
      <c r="AB102" s="70" t="s">
        <v>47</v>
      </c>
      <c r="AC102" s="70" t="s">
        <v>337</v>
      </c>
      <c r="AD102" s="291" t="s">
        <v>164</v>
      </c>
      <c r="AF102" s="112" t="s">
        <v>47</v>
      </c>
    </row>
    <row r="103" spans="1:32" s="70" customFormat="1">
      <c r="A103" s="70" t="s">
        <v>334</v>
      </c>
      <c r="B103" s="68">
        <v>45378</v>
      </c>
      <c r="C103" s="68">
        <v>45392</v>
      </c>
      <c r="D103" s="68">
        <v>45392</v>
      </c>
      <c r="E103" s="68">
        <v>45663</v>
      </c>
      <c r="F103" s="68">
        <v>45392</v>
      </c>
      <c r="H103" s="70">
        <v>10000</v>
      </c>
      <c r="I103" s="70">
        <v>40</v>
      </c>
      <c r="L103" s="69">
        <f t="shared" si="6"/>
        <v>0</v>
      </c>
      <c r="M103" s="70" t="s">
        <v>33</v>
      </c>
      <c r="N103" s="70" t="s">
        <v>159</v>
      </c>
      <c r="O103" s="70" t="s">
        <v>94</v>
      </c>
      <c r="P103" s="70" t="s">
        <v>346</v>
      </c>
      <c r="Q103" s="70" t="s">
        <v>37</v>
      </c>
      <c r="R103" s="70" t="s">
        <v>88</v>
      </c>
      <c r="S103" s="70">
        <v>1</v>
      </c>
      <c r="T103" s="70">
        <v>250</v>
      </c>
      <c r="U103" s="70" t="s">
        <v>347</v>
      </c>
      <c r="V103" s="70" t="s">
        <v>110</v>
      </c>
      <c r="W103" s="70" t="s">
        <v>53</v>
      </c>
      <c r="Y103" s="70" t="s">
        <v>44</v>
      </c>
      <c r="Z103" s="70" t="s">
        <v>162</v>
      </c>
      <c r="AA103" s="70" t="s">
        <v>44</v>
      </c>
      <c r="AB103" s="70" t="s">
        <v>47</v>
      </c>
      <c r="AC103" s="70" t="s">
        <v>337</v>
      </c>
      <c r="AD103" s="291" t="s">
        <v>164</v>
      </c>
      <c r="AF103" s="112" t="s">
        <v>47</v>
      </c>
    </row>
    <row r="104" spans="1:32" s="70" customFormat="1">
      <c r="A104" s="70" t="s">
        <v>334</v>
      </c>
      <c r="B104" s="68">
        <v>45378</v>
      </c>
      <c r="C104" s="68">
        <v>45392</v>
      </c>
      <c r="D104" s="68">
        <v>45392</v>
      </c>
      <c r="E104" s="68">
        <v>45663</v>
      </c>
      <c r="F104" s="68">
        <v>45392</v>
      </c>
      <c r="H104" s="70">
        <v>10000</v>
      </c>
      <c r="I104" s="70">
        <v>40</v>
      </c>
      <c r="L104" s="69">
        <f t="shared" si="6"/>
        <v>0</v>
      </c>
      <c r="M104" s="70" t="s">
        <v>33</v>
      </c>
      <c r="N104" s="70" t="s">
        <v>159</v>
      </c>
      <c r="O104" s="70" t="s">
        <v>94</v>
      </c>
      <c r="P104" s="70" t="s">
        <v>348</v>
      </c>
      <c r="Q104" s="70" t="s">
        <v>37</v>
      </c>
      <c r="R104" s="70" t="s">
        <v>88</v>
      </c>
      <c r="S104" s="70">
        <v>1</v>
      </c>
      <c r="T104" s="70">
        <v>250</v>
      </c>
      <c r="U104" s="70" t="s">
        <v>349</v>
      </c>
      <c r="V104" s="70" t="s">
        <v>110</v>
      </c>
      <c r="W104" s="70" t="s">
        <v>53</v>
      </c>
      <c r="Y104" s="70" t="s">
        <v>44</v>
      </c>
      <c r="Z104" s="70" t="s">
        <v>162</v>
      </c>
      <c r="AA104" s="70" t="s">
        <v>44</v>
      </c>
      <c r="AB104" s="70" t="s">
        <v>47</v>
      </c>
      <c r="AC104" s="70" t="s">
        <v>337</v>
      </c>
      <c r="AD104" s="291" t="s">
        <v>164</v>
      </c>
      <c r="AF104" s="112" t="s">
        <v>47</v>
      </c>
    </row>
    <row r="105" spans="1:32" s="70" customFormat="1">
      <c r="A105" s="70" t="s">
        <v>334</v>
      </c>
      <c r="B105" s="68">
        <v>45378</v>
      </c>
      <c r="C105" s="68">
        <v>45392</v>
      </c>
      <c r="D105" s="68">
        <v>45392</v>
      </c>
      <c r="E105" s="68">
        <v>45663</v>
      </c>
      <c r="F105" s="68">
        <v>45392</v>
      </c>
      <c r="H105" s="70">
        <v>10000</v>
      </c>
      <c r="I105" s="70">
        <v>40</v>
      </c>
      <c r="L105" s="69">
        <f t="shared" si="6"/>
        <v>0</v>
      </c>
      <c r="M105" s="70" t="s">
        <v>33</v>
      </c>
      <c r="N105" s="70" t="s">
        <v>159</v>
      </c>
      <c r="O105" s="70" t="s">
        <v>94</v>
      </c>
      <c r="P105" s="70" t="s">
        <v>350</v>
      </c>
      <c r="Q105" s="70" t="s">
        <v>37</v>
      </c>
      <c r="R105" s="70" t="s">
        <v>88</v>
      </c>
      <c r="S105" s="70">
        <v>1</v>
      </c>
      <c r="T105" s="70">
        <v>250</v>
      </c>
      <c r="U105" s="70" t="s">
        <v>351</v>
      </c>
      <c r="V105" s="70" t="s">
        <v>110</v>
      </c>
      <c r="W105" s="70" t="s">
        <v>53</v>
      </c>
      <c r="Y105" s="70" t="s">
        <v>44</v>
      </c>
      <c r="Z105" s="70" t="s">
        <v>162</v>
      </c>
      <c r="AA105" s="70" t="s">
        <v>44</v>
      </c>
      <c r="AB105" s="70" t="s">
        <v>47</v>
      </c>
      <c r="AC105" s="70" t="s">
        <v>337</v>
      </c>
      <c r="AD105" s="291" t="s">
        <v>164</v>
      </c>
      <c r="AF105" s="112" t="s">
        <v>47</v>
      </c>
    </row>
    <row r="106" spans="1:32" s="70" customFormat="1">
      <c r="A106" s="70" t="s">
        <v>334</v>
      </c>
      <c r="B106" s="68">
        <v>45378</v>
      </c>
      <c r="C106" s="68">
        <v>45392</v>
      </c>
      <c r="D106" s="68">
        <v>45392</v>
      </c>
      <c r="E106" s="68">
        <v>45663</v>
      </c>
      <c r="F106" s="68">
        <v>45392</v>
      </c>
      <c r="H106" s="70">
        <v>10000</v>
      </c>
      <c r="I106" s="70">
        <v>40</v>
      </c>
      <c r="L106" s="69">
        <f t="shared" si="6"/>
        <v>0</v>
      </c>
      <c r="M106" s="70" t="s">
        <v>33</v>
      </c>
      <c r="N106" s="70" t="s">
        <v>159</v>
      </c>
      <c r="O106" s="70" t="s">
        <v>94</v>
      </c>
      <c r="P106" s="70" t="s">
        <v>352</v>
      </c>
      <c r="Q106" s="70" t="s">
        <v>37</v>
      </c>
      <c r="R106" s="70" t="s">
        <v>88</v>
      </c>
      <c r="S106" s="70">
        <v>1</v>
      </c>
      <c r="T106" s="70">
        <v>250</v>
      </c>
      <c r="U106" s="70" t="s">
        <v>353</v>
      </c>
      <c r="V106" s="70" t="s">
        <v>110</v>
      </c>
      <c r="W106" s="70" t="s">
        <v>53</v>
      </c>
      <c r="Y106" s="70" t="s">
        <v>44</v>
      </c>
      <c r="Z106" s="70" t="s">
        <v>162</v>
      </c>
      <c r="AA106" s="70" t="s">
        <v>44</v>
      </c>
      <c r="AB106" s="70" t="s">
        <v>47</v>
      </c>
      <c r="AC106" s="70" t="s">
        <v>337</v>
      </c>
      <c r="AD106" s="291" t="s">
        <v>164</v>
      </c>
      <c r="AF106" s="112" t="s">
        <v>47</v>
      </c>
    </row>
    <row r="107" spans="1:32" s="70" customFormat="1">
      <c r="A107" s="70" t="s">
        <v>354</v>
      </c>
      <c r="B107" s="68">
        <v>45380</v>
      </c>
      <c r="C107" s="68">
        <v>45394</v>
      </c>
      <c r="D107" s="68">
        <v>45394</v>
      </c>
      <c r="E107" s="68">
        <v>45663</v>
      </c>
      <c r="F107" s="68">
        <v>45394</v>
      </c>
      <c r="H107" s="70">
        <v>10000</v>
      </c>
      <c r="I107" s="70">
        <v>40</v>
      </c>
      <c r="L107" s="69">
        <f t="shared" si="6"/>
        <v>0</v>
      </c>
      <c r="M107" s="70" t="s">
        <v>33</v>
      </c>
      <c r="N107" s="70" t="s">
        <v>159</v>
      </c>
      <c r="O107" s="70" t="s">
        <v>94</v>
      </c>
      <c r="P107" s="70" t="s">
        <v>355</v>
      </c>
      <c r="Q107" s="70" t="s">
        <v>37</v>
      </c>
      <c r="R107" s="70" t="s">
        <v>88</v>
      </c>
      <c r="S107" s="70">
        <v>1</v>
      </c>
      <c r="T107" s="70">
        <v>250</v>
      </c>
      <c r="U107" s="70" t="s">
        <v>356</v>
      </c>
      <c r="V107" s="70" t="s">
        <v>110</v>
      </c>
      <c r="W107" s="70" t="s">
        <v>53</v>
      </c>
      <c r="Y107" s="70" t="s">
        <v>44</v>
      </c>
      <c r="Z107" s="70" t="s">
        <v>162</v>
      </c>
      <c r="AA107" s="70" t="s">
        <v>44</v>
      </c>
      <c r="AB107" s="70" t="s">
        <v>47</v>
      </c>
      <c r="AC107" s="70" t="s">
        <v>337</v>
      </c>
      <c r="AD107" s="291" t="s">
        <v>164</v>
      </c>
      <c r="AF107" s="112" t="s">
        <v>47</v>
      </c>
    </row>
    <row r="108" spans="1:32" s="70" customFormat="1">
      <c r="A108" s="70" t="s">
        <v>354</v>
      </c>
      <c r="B108" s="68">
        <v>45385</v>
      </c>
      <c r="C108" s="68">
        <v>45399</v>
      </c>
      <c r="D108" s="68">
        <v>45399</v>
      </c>
      <c r="E108" s="68">
        <v>45663</v>
      </c>
      <c r="F108" s="68">
        <v>45399</v>
      </c>
      <c r="H108" s="70">
        <v>10000</v>
      </c>
      <c r="I108" s="70">
        <v>40</v>
      </c>
      <c r="L108" s="69">
        <f t="shared" si="6"/>
        <v>0</v>
      </c>
      <c r="M108" s="70" t="s">
        <v>33</v>
      </c>
      <c r="N108" s="70" t="s">
        <v>159</v>
      </c>
      <c r="O108" s="70" t="s">
        <v>94</v>
      </c>
      <c r="P108" s="70" t="s">
        <v>357</v>
      </c>
      <c r="Q108" s="70" t="s">
        <v>37</v>
      </c>
      <c r="R108" s="70" t="s">
        <v>88</v>
      </c>
      <c r="S108" s="70">
        <v>1</v>
      </c>
      <c r="T108" s="70">
        <v>250</v>
      </c>
      <c r="U108" s="70" t="s">
        <v>358</v>
      </c>
      <c r="V108" s="70" t="s">
        <v>110</v>
      </c>
      <c r="W108" s="70" t="s">
        <v>53</v>
      </c>
      <c r="Y108" s="70" t="s">
        <v>44</v>
      </c>
      <c r="Z108" s="70" t="s">
        <v>162</v>
      </c>
      <c r="AA108" s="70" t="s">
        <v>44</v>
      </c>
      <c r="AB108" s="70" t="s">
        <v>47</v>
      </c>
      <c r="AC108" s="157" t="s">
        <v>359</v>
      </c>
      <c r="AD108" s="291" t="s">
        <v>164</v>
      </c>
      <c r="AF108" s="112" t="s">
        <v>47</v>
      </c>
    </row>
    <row r="109" spans="1:32" s="70" customFormat="1">
      <c r="A109" s="70" t="s">
        <v>354</v>
      </c>
      <c r="B109" s="68">
        <v>45385</v>
      </c>
      <c r="C109" s="68">
        <v>45399</v>
      </c>
      <c r="D109" s="68">
        <v>45399</v>
      </c>
      <c r="E109" s="68">
        <v>45663</v>
      </c>
      <c r="F109" s="68">
        <v>45399</v>
      </c>
      <c r="H109" s="70">
        <v>10000</v>
      </c>
      <c r="I109" s="70">
        <v>40</v>
      </c>
      <c r="L109" s="69">
        <f t="shared" si="6"/>
        <v>0</v>
      </c>
      <c r="M109" s="70" t="s">
        <v>33</v>
      </c>
      <c r="N109" s="70" t="s">
        <v>159</v>
      </c>
      <c r="O109" s="70" t="s">
        <v>94</v>
      </c>
      <c r="P109" s="70" t="s">
        <v>360</v>
      </c>
      <c r="Q109" s="70" t="s">
        <v>37</v>
      </c>
      <c r="R109" s="70" t="s">
        <v>88</v>
      </c>
      <c r="S109" s="70">
        <v>1</v>
      </c>
      <c r="T109" s="70">
        <v>250</v>
      </c>
      <c r="U109" s="70" t="s">
        <v>361</v>
      </c>
      <c r="V109" s="70" t="s">
        <v>110</v>
      </c>
      <c r="W109" s="70" t="s">
        <v>53</v>
      </c>
      <c r="Y109" s="70" t="s">
        <v>44</v>
      </c>
      <c r="Z109" s="70" t="s">
        <v>162</v>
      </c>
      <c r="AA109" s="70" t="s">
        <v>44</v>
      </c>
      <c r="AB109" s="70" t="s">
        <v>47</v>
      </c>
      <c r="AC109" s="157" t="s">
        <v>359</v>
      </c>
      <c r="AD109" s="291" t="s">
        <v>164</v>
      </c>
      <c r="AF109" s="112" t="s">
        <v>47</v>
      </c>
    </row>
    <row r="110" spans="1:32" s="70" customFormat="1">
      <c r="A110" s="70" t="s">
        <v>354</v>
      </c>
      <c r="B110" s="68">
        <v>45385</v>
      </c>
      <c r="C110" s="68">
        <v>45399</v>
      </c>
      <c r="D110" s="68">
        <v>45399</v>
      </c>
      <c r="E110" s="68">
        <v>45663</v>
      </c>
      <c r="F110" s="68">
        <v>45399</v>
      </c>
      <c r="H110" s="70">
        <v>10000</v>
      </c>
      <c r="I110" s="70">
        <v>40</v>
      </c>
      <c r="L110" s="69">
        <f t="shared" si="6"/>
        <v>0</v>
      </c>
      <c r="M110" s="70" t="s">
        <v>33</v>
      </c>
      <c r="N110" s="70" t="s">
        <v>159</v>
      </c>
      <c r="O110" s="70" t="s">
        <v>94</v>
      </c>
      <c r="P110" s="70" t="s">
        <v>362</v>
      </c>
      <c r="Q110" s="70" t="s">
        <v>37</v>
      </c>
      <c r="R110" s="70" t="s">
        <v>88</v>
      </c>
      <c r="S110" s="70">
        <v>1</v>
      </c>
      <c r="T110" s="70">
        <v>250</v>
      </c>
      <c r="U110" s="70" t="s">
        <v>363</v>
      </c>
      <c r="V110" s="70" t="s">
        <v>110</v>
      </c>
      <c r="W110" s="70" t="s">
        <v>53</v>
      </c>
      <c r="Y110" s="70" t="s">
        <v>44</v>
      </c>
      <c r="Z110" s="70" t="s">
        <v>162</v>
      </c>
      <c r="AA110" s="70" t="s">
        <v>44</v>
      </c>
      <c r="AB110" s="70" t="s">
        <v>47</v>
      </c>
      <c r="AC110" s="157" t="s">
        <v>359</v>
      </c>
      <c r="AD110" s="291" t="s">
        <v>164</v>
      </c>
      <c r="AF110" s="112" t="s">
        <v>47</v>
      </c>
    </row>
    <row r="111" spans="1:32" s="70" customFormat="1" ht="29.1">
      <c r="A111" s="96" t="s">
        <v>364</v>
      </c>
      <c r="B111" s="68">
        <v>45385</v>
      </c>
      <c r="C111" s="68">
        <v>45387</v>
      </c>
      <c r="D111" s="68">
        <v>45402</v>
      </c>
      <c r="E111" s="68">
        <v>45406</v>
      </c>
      <c r="F111" s="68">
        <v>45394</v>
      </c>
      <c r="H111" s="70" t="s">
        <v>139</v>
      </c>
      <c r="I111" s="70" t="s">
        <v>139</v>
      </c>
      <c r="L111" s="69" t="e">
        <f t="shared" si="6"/>
        <v>#VALUE!</v>
      </c>
      <c r="M111" s="70" t="s">
        <v>72</v>
      </c>
      <c r="N111" s="70" t="s">
        <v>140</v>
      </c>
      <c r="O111" s="70" t="s">
        <v>35</v>
      </c>
      <c r="P111" s="70" t="s">
        <v>365</v>
      </c>
      <c r="Q111" s="70" t="s">
        <v>76</v>
      </c>
      <c r="R111" s="70" t="s">
        <v>88</v>
      </c>
      <c r="U111" s="70" t="s">
        <v>366</v>
      </c>
      <c r="V111" s="70" t="s">
        <v>271</v>
      </c>
      <c r="W111" s="70" t="s">
        <v>53</v>
      </c>
      <c r="Y111" s="70" t="s">
        <v>44</v>
      </c>
      <c r="Z111" s="70" t="s">
        <v>367</v>
      </c>
      <c r="AA111" s="70" t="s">
        <v>44</v>
      </c>
      <c r="AB111" s="70" t="s">
        <v>47</v>
      </c>
      <c r="AC111" s="197" t="s">
        <v>368</v>
      </c>
      <c r="AD111" s="296" t="s">
        <v>369</v>
      </c>
      <c r="AF111" s="112" t="s">
        <v>47</v>
      </c>
    </row>
    <row r="112" spans="1:32" s="70" customFormat="1">
      <c r="A112" s="70" t="s">
        <v>354</v>
      </c>
      <c r="B112" s="68">
        <v>45385</v>
      </c>
      <c r="C112" s="68">
        <v>45399</v>
      </c>
      <c r="D112" s="68">
        <v>45399</v>
      </c>
      <c r="E112" s="68">
        <v>45663</v>
      </c>
      <c r="F112" s="68">
        <v>45399</v>
      </c>
      <c r="H112" s="70">
        <v>10000</v>
      </c>
      <c r="I112" s="70">
        <v>40</v>
      </c>
      <c r="L112" s="69">
        <f t="shared" si="6"/>
        <v>0</v>
      </c>
      <c r="M112" s="70" t="s">
        <v>33</v>
      </c>
      <c r="N112" s="70" t="s">
        <v>159</v>
      </c>
      <c r="O112" s="70" t="s">
        <v>94</v>
      </c>
      <c r="P112" s="70" t="s">
        <v>370</v>
      </c>
      <c r="Q112" s="70" t="s">
        <v>37</v>
      </c>
      <c r="R112" s="70" t="s">
        <v>88</v>
      </c>
      <c r="S112" s="70">
        <v>1</v>
      </c>
      <c r="T112" s="70">
        <v>250</v>
      </c>
      <c r="U112" s="70" t="s">
        <v>371</v>
      </c>
      <c r="V112" s="70" t="s">
        <v>110</v>
      </c>
      <c r="W112" s="70" t="s">
        <v>53</v>
      </c>
      <c r="Y112" s="70" t="s">
        <v>44</v>
      </c>
      <c r="Z112" s="70" t="s">
        <v>162</v>
      </c>
      <c r="AA112" s="70" t="s">
        <v>44</v>
      </c>
      <c r="AB112" s="70" t="s">
        <v>47</v>
      </c>
      <c r="AC112" s="157" t="s">
        <v>359</v>
      </c>
      <c r="AD112" s="291" t="s">
        <v>164</v>
      </c>
      <c r="AF112" s="112" t="s">
        <v>47</v>
      </c>
    </row>
    <row r="113" spans="1:32" s="70" customFormat="1">
      <c r="A113" s="70" t="s">
        <v>354</v>
      </c>
      <c r="B113" s="68">
        <v>45386</v>
      </c>
      <c r="C113" s="68">
        <v>45400</v>
      </c>
      <c r="D113" s="68">
        <v>45400</v>
      </c>
      <c r="E113" s="68">
        <v>45663</v>
      </c>
      <c r="F113" s="68">
        <v>45400</v>
      </c>
      <c r="H113" s="70">
        <v>10000</v>
      </c>
      <c r="I113" s="70">
        <v>40</v>
      </c>
      <c r="L113" s="69">
        <f t="shared" si="6"/>
        <v>0</v>
      </c>
      <c r="M113" s="70" t="s">
        <v>33</v>
      </c>
      <c r="N113" s="70" t="s">
        <v>159</v>
      </c>
      <c r="O113" s="70" t="s">
        <v>94</v>
      </c>
      <c r="P113" s="70" t="s">
        <v>372</v>
      </c>
      <c r="Q113" s="70" t="s">
        <v>37</v>
      </c>
      <c r="R113" s="70" t="s">
        <v>88</v>
      </c>
      <c r="S113" s="70">
        <v>1</v>
      </c>
      <c r="T113" s="70">
        <v>250</v>
      </c>
      <c r="U113" s="70" t="s">
        <v>373</v>
      </c>
      <c r="V113" s="70" t="s">
        <v>110</v>
      </c>
      <c r="W113" s="70" t="s">
        <v>53</v>
      </c>
      <c r="Y113" s="70" t="s">
        <v>44</v>
      </c>
      <c r="Z113" s="70" t="s">
        <v>162</v>
      </c>
      <c r="AA113" s="70" t="s">
        <v>44</v>
      </c>
      <c r="AB113" s="70" t="s">
        <v>47</v>
      </c>
      <c r="AC113" s="157" t="s">
        <v>359</v>
      </c>
      <c r="AD113" s="291" t="s">
        <v>164</v>
      </c>
      <c r="AF113" s="112" t="s">
        <v>47</v>
      </c>
    </row>
    <row r="114" spans="1:32" s="70" customFormat="1">
      <c r="A114" s="70" t="s">
        <v>354</v>
      </c>
      <c r="B114" s="68">
        <v>45391</v>
      </c>
      <c r="C114" s="68">
        <v>45405</v>
      </c>
      <c r="D114" s="68">
        <v>45405</v>
      </c>
      <c r="E114" s="68">
        <v>45663</v>
      </c>
      <c r="F114" s="68">
        <v>45405</v>
      </c>
      <c r="H114" s="70">
        <v>10000</v>
      </c>
      <c r="I114" s="70">
        <v>40</v>
      </c>
      <c r="L114" s="69">
        <f t="shared" si="6"/>
        <v>0</v>
      </c>
      <c r="M114" s="70" t="s">
        <v>33</v>
      </c>
      <c r="N114" s="70" t="s">
        <v>159</v>
      </c>
      <c r="O114" s="70" t="s">
        <v>94</v>
      </c>
      <c r="P114" s="70" t="s">
        <v>374</v>
      </c>
      <c r="Q114" s="70" t="s">
        <v>37</v>
      </c>
      <c r="R114" s="70" t="s">
        <v>88</v>
      </c>
      <c r="S114" s="70">
        <v>1</v>
      </c>
      <c r="T114" s="70">
        <v>250</v>
      </c>
      <c r="U114" s="70" t="s">
        <v>375</v>
      </c>
      <c r="V114" s="70" t="s">
        <v>110</v>
      </c>
      <c r="W114" s="70" t="s">
        <v>53</v>
      </c>
      <c r="Y114" s="70" t="s">
        <v>44</v>
      </c>
      <c r="Z114" s="70" t="s">
        <v>162</v>
      </c>
      <c r="AA114" s="70" t="s">
        <v>44</v>
      </c>
      <c r="AB114" s="70" t="s">
        <v>47</v>
      </c>
      <c r="AC114" s="157" t="s">
        <v>359</v>
      </c>
      <c r="AD114" s="291" t="s">
        <v>164</v>
      </c>
      <c r="AF114" s="112" t="s">
        <v>47</v>
      </c>
    </row>
    <row r="115" spans="1:32" s="70" customFormat="1">
      <c r="A115" s="70" t="s">
        <v>354</v>
      </c>
      <c r="B115" s="68">
        <v>45391</v>
      </c>
      <c r="C115" s="68">
        <v>45405</v>
      </c>
      <c r="D115" s="68">
        <v>45405</v>
      </c>
      <c r="E115" s="68">
        <v>45663</v>
      </c>
      <c r="F115" s="68">
        <v>45405</v>
      </c>
      <c r="H115" s="70">
        <v>10000</v>
      </c>
      <c r="I115" s="70">
        <v>40</v>
      </c>
      <c r="L115" s="69">
        <f t="shared" si="6"/>
        <v>0</v>
      </c>
      <c r="M115" s="70" t="s">
        <v>33</v>
      </c>
      <c r="N115" s="70" t="s">
        <v>159</v>
      </c>
      <c r="O115" s="70" t="s">
        <v>94</v>
      </c>
      <c r="P115" s="70" t="s">
        <v>376</v>
      </c>
      <c r="Q115" s="70" t="s">
        <v>37</v>
      </c>
      <c r="R115" s="70" t="s">
        <v>88</v>
      </c>
      <c r="S115" s="70">
        <v>1</v>
      </c>
      <c r="T115" s="70">
        <v>250</v>
      </c>
      <c r="U115" s="70" t="s">
        <v>377</v>
      </c>
      <c r="V115" s="70" t="s">
        <v>110</v>
      </c>
      <c r="W115" s="70" t="s">
        <v>53</v>
      </c>
      <c r="Y115" s="70" t="s">
        <v>44</v>
      </c>
      <c r="Z115" s="70" t="s">
        <v>162</v>
      </c>
      <c r="AA115" s="70" t="s">
        <v>44</v>
      </c>
      <c r="AB115" s="70" t="s">
        <v>47</v>
      </c>
      <c r="AC115" s="157" t="s">
        <v>359</v>
      </c>
      <c r="AD115" s="291" t="s">
        <v>164</v>
      </c>
      <c r="AF115" s="112" t="s">
        <v>47</v>
      </c>
    </row>
    <row r="116" spans="1:32" s="70" customFormat="1">
      <c r="A116" s="70" t="s">
        <v>354</v>
      </c>
      <c r="B116" s="68">
        <v>45391</v>
      </c>
      <c r="C116" s="68">
        <v>45401</v>
      </c>
      <c r="D116" s="68">
        <v>45405</v>
      </c>
      <c r="E116" s="68">
        <v>45407</v>
      </c>
      <c r="F116" s="68">
        <v>45401</v>
      </c>
      <c r="H116" s="70">
        <v>100000</v>
      </c>
      <c r="I116" s="70">
        <v>100</v>
      </c>
      <c r="J116" s="69">
        <f t="shared" ref="J116" si="10">+I116/H116</f>
        <v>1E-3</v>
      </c>
      <c r="L116" s="69">
        <f t="shared" ref="L116" si="11">K116/H116</f>
        <v>0</v>
      </c>
      <c r="M116" s="70" t="s">
        <v>33</v>
      </c>
      <c r="N116" s="70" t="s">
        <v>93</v>
      </c>
      <c r="O116" s="70" t="s">
        <v>94</v>
      </c>
      <c r="P116" s="70" t="s">
        <v>318</v>
      </c>
      <c r="Q116" s="70" t="s">
        <v>37</v>
      </c>
      <c r="R116" s="70" t="s">
        <v>88</v>
      </c>
      <c r="S116" s="70">
        <v>1</v>
      </c>
      <c r="T116" s="70">
        <v>100</v>
      </c>
      <c r="U116" s="70" t="s">
        <v>319</v>
      </c>
      <c r="V116" s="70">
        <v>1</v>
      </c>
      <c r="W116" s="70" t="s">
        <v>53</v>
      </c>
      <c r="Y116" s="70" t="s">
        <v>44</v>
      </c>
      <c r="Z116" s="70" t="s">
        <v>90</v>
      </c>
      <c r="AA116" s="70" t="s">
        <v>44</v>
      </c>
      <c r="AB116" s="70" t="s">
        <v>47</v>
      </c>
      <c r="AC116" s="70" t="s">
        <v>320</v>
      </c>
      <c r="AD116" s="291" t="s">
        <v>378</v>
      </c>
      <c r="AF116" s="112" t="s">
        <v>47</v>
      </c>
    </row>
    <row r="117" spans="1:32" s="70" customFormat="1">
      <c r="A117" s="70" t="s">
        <v>354</v>
      </c>
      <c r="B117" s="68">
        <v>45392</v>
      </c>
      <c r="C117" s="68">
        <v>45392</v>
      </c>
      <c r="D117" s="68">
        <v>45393</v>
      </c>
      <c r="E117" s="68">
        <v>45398</v>
      </c>
      <c r="F117" s="68">
        <v>45393</v>
      </c>
      <c r="I117" s="70">
        <v>300</v>
      </c>
      <c r="L117" s="69" t="e">
        <f t="shared" si="6"/>
        <v>#DIV/0!</v>
      </c>
      <c r="M117" s="70" t="s">
        <v>72</v>
      </c>
      <c r="N117" s="70" t="s">
        <v>261</v>
      </c>
      <c r="O117" s="70" t="s">
        <v>262</v>
      </c>
      <c r="P117" s="70" t="s">
        <v>379</v>
      </c>
      <c r="Q117" s="70" t="s">
        <v>37</v>
      </c>
      <c r="R117" s="70" t="s">
        <v>88</v>
      </c>
      <c r="U117" s="70" t="s">
        <v>380</v>
      </c>
      <c r="V117" s="70" t="s">
        <v>110</v>
      </c>
      <c r="W117" s="70" t="s">
        <v>53</v>
      </c>
      <c r="Y117" s="70" t="s">
        <v>44</v>
      </c>
      <c r="Z117" s="70" t="s">
        <v>381</v>
      </c>
      <c r="AA117" s="70" t="s">
        <v>44</v>
      </c>
      <c r="AB117" s="70" t="s">
        <v>47</v>
      </c>
      <c r="AC117" s="70" t="s">
        <v>382</v>
      </c>
      <c r="AD117" s="291" t="s">
        <v>383</v>
      </c>
      <c r="AF117" s="112" t="s">
        <v>47</v>
      </c>
    </row>
    <row r="118" spans="1:32" s="70" customFormat="1">
      <c r="A118" s="70" t="s">
        <v>384</v>
      </c>
      <c r="B118" s="68">
        <v>45397</v>
      </c>
      <c r="C118" s="68">
        <v>45398</v>
      </c>
      <c r="D118" s="68">
        <v>45421</v>
      </c>
      <c r="E118" s="68">
        <v>45443.999305555553</v>
      </c>
      <c r="F118" s="68">
        <v>45411</v>
      </c>
      <c r="G118" s="68">
        <v>45419</v>
      </c>
      <c r="H118" s="121">
        <v>29500</v>
      </c>
      <c r="I118" s="70">
        <v>148</v>
      </c>
      <c r="J118" s="114">
        <v>5.0000000000000001E-3</v>
      </c>
      <c r="L118" s="69">
        <f t="shared" si="6"/>
        <v>0</v>
      </c>
      <c r="M118" s="70" t="s">
        <v>72</v>
      </c>
      <c r="N118" s="70" t="s">
        <v>385</v>
      </c>
      <c r="O118" s="70" t="s">
        <v>386</v>
      </c>
      <c r="P118" s="70" t="s">
        <v>387</v>
      </c>
      <c r="Q118" s="70" t="s">
        <v>37</v>
      </c>
      <c r="R118" s="70" t="s">
        <v>38</v>
      </c>
      <c r="S118" s="70">
        <v>29600</v>
      </c>
      <c r="T118" s="70">
        <v>1</v>
      </c>
      <c r="W118" s="70" t="s">
        <v>53</v>
      </c>
      <c r="Y118" s="70" t="s">
        <v>44</v>
      </c>
      <c r="Z118" s="70" t="s">
        <v>162</v>
      </c>
      <c r="AA118" s="70" t="s">
        <v>44</v>
      </c>
      <c r="AB118" s="70" t="s">
        <v>47</v>
      </c>
      <c r="AC118" s="70" t="s">
        <v>388</v>
      </c>
      <c r="AD118" s="291" t="s">
        <v>389</v>
      </c>
      <c r="AF118" s="112" t="s">
        <v>47</v>
      </c>
    </row>
    <row r="119" spans="1:32" s="70" customFormat="1">
      <c r="A119" s="70" t="s">
        <v>390</v>
      </c>
      <c r="B119" s="68">
        <v>45397</v>
      </c>
      <c r="C119" s="68">
        <v>45412</v>
      </c>
      <c r="D119" s="68">
        <v>45427</v>
      </c>
      <c r="E119" s="68">
        <v>45430</v>
      </c>
      <c r="F119" s="68">
        <v>45412</v>
      </c>
      <c r="G119" s="68">
        <v>45426</v>
      </c>
      <c r="H119" s="70">
        <v>2500000</v>
      </c>
      <c r="I119" s="70">
        <v>3500</v>
      </c>
      <c r="J119" s="114">
        <f>+I119/H119</f>
        <v>1.4E-3</v>
      </c>
      <c r="L119" s="69">
        <f>K119/H119</f>
        <v>0</v>
      </c>
      <c r="M119" s="70" t="s">
        <v>72</v>
      </c>
      <c r="N119" s="70" t="s">
        <v>93</v>
      </c>
      <c r="O119" s="70" t="s">
        <v>391</v>
      </c>
      <c r="P119" s="70" t="s">
        <v>392</v>
      </c>
      <c r="Q119" s="70" t="s">
        <v>37</v>
      </c>
      <c r="R119" s="70" t="s">
        <v>88</v>
      </c>
      <c r="S119" s="70">
        <v>1</v>
      </c>
      <c r="T119" s="70">
        <v>1</v>
      </c>
      <c r="U119" s="70" t="s">
        <v>393</v>
      </c>
      <c r="V119" s="70" t="s">
        <v>118</v>
      </c>
      <c r="W119" s="70" t="s">
        <v>53</v>
      </c>
      <c r="Y119" s="70" t="s">
        <v>44</v>
      </c>
      <c r="Z119" s="70" t="s">
        <v>162</v>
      </c>
      <c r="AA119" s="70" t="s">
        <v>44</v>
      </c>
      <c r="AB119" s="70" t="s">
        <v>47</v>
      </c>
      <c r="AC119" s="70" t="s">
        <v>394</v>
      </c>
      <c r="AD119" s="291" t="s">
        <v>395</v>
      </c>
      <c r="AF119" s="112" t="s">
        <v>47</v>
      </c>
    </row>
    <row r="120" spans="1:32" s="70" customFormat="1">
      <c r="A120" s="70" t="s">
        <v>390</v>
      </c>
      <c r="B120" s="68">
        <v>45398</v>
      </c>
      <c r="C120" s="68">
        <v>45398</v>
      </c>
      <c r="D120" s="68">
        <v>45423</v>
      </c>
      <c r="E120" s="68">
        <v>45424.999305555553</v>
      </c>
      <c r="F120" s="68">
        <v>45415</v>
      </c>
      <c r="G120" s="68">
        <v>45418</v>
      </c>
      <c r="H120" s="70">
        <v>230000</v>
      </c>
      <c r="I120" s="70">
        <v>1000</v>
      </c>
      <c r="J120" s="114">
        <v>4.3E-3</v>
      </c>
      <c r="L120" s="69">
        <f t="shared" si="6"/>
        <v>0</v>
      </c>
      <c r="M120" s="70" t="s">
        <v>72</v>
      </c>
      <c r="N120" s="70" t="s">
        <v>385</v>
      </c>
      <c r="O120" s="70" t="s">
        <v>386</v>
      </c>
      <c r="P120" s="70" t="s">
        <v>396</v>
      </c>
      <c r="Q120" s="70" t="s">
        <v>37</v>
      </c>
      <c r="R120" s="70" t="s">
        <v>88</v>
      </c>
      <c r="U120" s="70" t="s">
        <v>397</v>
      </c>
      <c r="V120" s="70">
        <v>1</v>
      </c>
      <c r="W120" s="70" t="s">
        <v>53</v>
      </c>
      <c r="Y120" s="70" t="s">
        <v>44</v>
      </c>
      <c r="Z120" s="70" t="s">
        <v>162</v>
      </c>
      <c r="AA120" s="70" t="s">
        <v>44</v>
      </c>
      <c r="AB120" s="70" t="s">
        <v>47</v>
      </c>
      <c r="AC120" s="70" t="s">
        <v>398</v>
      </c>
      <c r="AD120" s="291" t="s">
        <v>399</v>
      </c>
      <c r="AF120" s="75" t="s">
        <v>47</v>
      </c>
    </row>
    <row r="121" spans="1:32" s="70" customFormat="1">
      <c r="A121" s="70" t="s">
        <v>400</v>
      </c>
      <c r="B121" s="68">
        <v>45399</v>
      </c>
      <c r="C121" s="68">
        <v>45399</v>
      </c>
      <c r="D121" s="68">
        <v>45400</v>
      </c>
      <c r="E121" s="68">
        <v>45405.999305555553</v>
      </c>
      <c r="F121" s="68">
        <v>45399</v>
      </c>
      <c r="H121" s="70">
        <v>10000</v>
      </c>
      <c r="I121" s="70">
        <v>300</v>
      </c>
      <c r="J121" s="114">
        <v>3.0000000000000001E-3</v>
      </c>
      <c r="L121" s="69">
        <f t="shared" si="6"/>
        <v>0</v>
      </c>
      <c r="M121" s="70" t="s">
        <v>72</v>
      </c>
      <c r="N121" s="70" t="s">
        <v>268</v>
      </c>
      <c r="O121" s="70" t="s">
        <v>262</v>
      </c>
      <c r="P121" s="70" t="s">
        <v>401</v>
      </c>
      <c r="Q121" s="70" t="s">
        <v>37</v>
      </c>
      <c r="R121" s="70" t="s">
        <v>88</v>
      </c>
      <c r="S121" s="70">
        <v>1</v>
      </c>
      <c r="T121" s="70">
        <v>1</v>
      </c>
      <c r="U121" s="70" t="s">
        <v>402</v>
      </c>
      <c r="V121" s="70">
        <v>1</v>
      </c>
      <c r="W121" s="70" t="s">
        <v>53</v>
      </c>
      <c r="Y121" s="70" t="s">
        <v>44</v>
      </c>
      <c r="Z121" s="70" t="s">
        <v>162</v>
      </c>
      <c r="AA121" s="70" t="s">
        <v>44</v>
      </c>
      <c r="AB121" s="70" t="s">
        <v>47</v>
      </c>
      <c r="AC121" s="70" t="s">
        <v>403</v>
      </c>
      <c r="AD121" s="296" t="s">
        <v>404</v>
      </c>
      <c r="AF121" s="112" t="s">
        <v>47</v>
      </c>
    </row>
    <row r="122" spans="1:32" s="70" customFormat="1">
      <c r="A122" s="70" t="s">
        <v>400</v>
      </c>
      <c r="B122" s="68">
        <v>45399</v>
      </c>
      <c r="C122" s="68">
        <v>45398</v>
      </c>
      <c r="D122" s="68">
        <v>45403</v>
      </c>
      <c r="E122" s="68">
        <v>45404.999305555553</v>
      </c>
      <c r="F122" s="68">
        <v>45400</v>
      </c>
      <c r="H122" s="70">
        <v>2000000</v>
      </c>
      <c r="I122" s="70">
        <v>1200</v>
      </c>
      <c r="J122" s="115">
        <f>I122/H122</f>
        <v>5.9999999999999995E-4</v>
      </c>
      <c r="L122" s="69">
        <f t="shared" si="6"/>
        <v>0</v>
      </c>
      <c r="M122" s="70" t="s">
        <v>72</v>
      </c>
      <c r="N122" s="70" t="s">
        <v>268</v>
      </c>
      <c r="O122" s="70" t="s">
        <v>405</v>
      </c>
      <c r="P122" s="70" t="s">
        <v>406</v>
      </c>
      <c r="Q122" s="70" t="s">
        <v>37</v>
      </c>
      <c r="R122" s="70" t="s">
        <v>88</v>
      </c>
      <c r="S122" s="70">
        <v>1</v>
      </c>
      <c r="U122" s="70" t="s">
        <v>407</v>
      </c>
      <c r="V122" s="70" t="s">
        <v>271</v>
      </c>
      <c r="W122" s="70" t="s">
        <v>53</v>
      </c>
      <c r="Y122" s="70" t="s">
        <v>44</v>
      </c>
      <c r="Z122" s="70" t="s">
        <v>43</v>
      </c>
      <c r="AA122" s="70" t="s">
        <v>44</v>
      </c>
      <c r="AB122" s="70" t="s">
        <v>47</v>
      </c>
      <c r="AC122" s="70" t="s">
        <v>408</v>
      </c>
      <c r="AD122" s="291" t="s">
        <v>409</v>
      </c>
      <c r="AF122" s="112" t="s">
        <v>47</v>
      </c>
    </row>
    <row r="123" spans="1:32" s="70" customFormat="1" ht="15">
      <c r="A123" s="70" t="s">
        <v>410</v>
      </c>
      <c r="B123" s="68">
        <v>45035</v>
      </c>
      <c r="C123" s="68">
        <v>45039</v>
      </c>
      <c r="D123" s="68">
        <v>45410</v>
      </c>
      <c r="E123" s="127">
        <v>45528</v>
      </c>
      <c r="F123" s="68">
        <v>45407</v>
      </c>
      <c r="H123" s="70">
        <v>250</v>
      </c>
      <c r="I123" s="70">
        <v>250</v>
      </c>
      <c r="J123" s="69">
        <f t="shared" ref="J123:J128" si="12">+I123/H123</f>
        <v>1</v>
      </c>
      <c r="L123" s="69">
        <f t="shared" si="6"/>
        <v>0</v>
      </c>
      <c r="N123" s="70" t="s">
        <v>57</v>
      </c>
      <c r="O123" s="70" t="s">
        <v>411</v>
      </c>
      <c r="P123" s="128" t="s">
        <v>59</v>
      </c>
      <c r="Q123" s="70" t="s">
        <v>37</v>
      </c>
      <c r="R123" s="70" t="s">
        <v>38</v>
      </c>
      <c r="S123" s="97">
        <v>300</v>
      </c>
      <c r="T123" s="70" t="s">
        <v>52</v>
      </c>
      <c r="V123" s="70">
        <v>1</v>
      </c>
      <c r="W123" s="70" t="s">
        <v>53</v>
      </c>
      <c r="Y123" s="70" t="s">
        <v>44</v>
      </c>
      <c r="AA123" s="70" t="s">
        <v>44</v>
      </c>
      <c r="AB123" s="70" t="s">
        <v>47</v>
      </c>
      <c r="AC123" s="70" t="s">
        <v>412</v>
      </c>
      <c r="AD123" s="291" t="s">
        <v>413</v>
      </c>
      <c r="AF123" s="71" t="s">
        <v>47</v>
      </c>
    </row>
    <row r="124" spans="1:32" s="70" customFormat="1" ht="15">
      <c r="A124" s="70" t="s">
        <v>410</v>
      </c>
      <c r="B124" s="68">
        <v>45035</v>
      </c>
      <c r="C124" s="68">
        <v>45039</v>
      </c>
      <c r="D124" s="68">
        <v>45410</v>
      </c>
      <c r="E124" s="127">
        <v>45528</v>
      </c>
      <c r="F124" s="68">
        <v>45407</v>
      </c>
      <c r="H124" s="70">
        <v>250</v>
      </c>
      <c r="I124" s="70">
        <v>250</v>
      </c>
      <c r="J124" s="69">
        <f t="shared" si="12"/>
        <v>1</v>
      </c>
      <c r="L124" s="69">
        <f t="shared" si="6"/>
        <v>0</v>
      </c>
      <c r="N124" s="70" t="s">
        <v>57</v>
      </c>
      <c r="O124" s="70" t="s">
        <v>411</v>
      </c>
      <c r="P124" s="128" t="s">
        <v>62</v>
      </c>
      <c r="Q124" s="70" t="s">
        <v>37</v>
      </c>
      <c r="R124" s="70" t="s">
        <v>38</v>
      </c>
      <c r="S124" s="97">
        <v>300</v>
      </c>
      <c r="T124" s="70" t="s">
        <v>52</v>
      </c>
      <c r="V124" s="70">
        <v>1</v>
      </c>
      <c r="W124" s="70" t="s">
        <v>53</v>
      </c>
      <c r="Y124" s="70" t="s">
        <v>44</v>
      </c>
      <c r="AA124" s="70" t="s">
        <v>44</v>
      </c>
      <c r="AB124" s="70" t="s">
        <v>47</v>
      </c>
      <c r="AC124" s="70" t="s">
        <v>412</v>
      </c>
      <c r="AD124" s="291" t="s">
        <v>414</v>
      </c>
      <c r="AF124" s="71" t="s">
        <v>47</v>
      </c>
    </row>
    <row r="125" spans="1:32" s="70" customFormat="1" ht="15">
      <c r="A125" s="70" t="s">
        <v>410</v>
      </c>
      <c r="B125" s="68">
        <v>45035</v>
      </c>
      <c r="C125" s="68">
        <v>45039</v>
      </c>
      <c r="D125" s="68">
        <v>45410</v>
      </c>
      <c r="E125" s="127">
        <v>45528</v>
      </c>
      <c r="F125" s="68">
        <v>45407</v>
      </c>
      <c r="H125" s="70">
        <v>250</v>
      </c>
      <c r="I125" s="70">
        <v>250</v>
      </c>
      <c r="J125" s="69">
        <f t="shared" si="12"/>
        <v>1</v>
      </c>
      <c r="L125" s="69">
        <f t="shared" si="6"/>
        <v>0</v>
      </c>
      <c r="N125" s="70" t="s">
        <v>57</v>
      </c>
      <c r="O125" s="70" t="s">
        <v>411</v>
      </c>
      <c r="P125" s="128" t="s">
        <v>63</v>
      </c>
      <c r="Q125" s="70" t="s">
        <v>37</v>
      </c>
      <c r="R125" s="70" t="s">
        <v>38</v>
      </c>
      <c r="S125" s="97">
        <v>300</v>
      </c>
      <c r="T125" s="70" t="s">
        <v>52</v>
      </c>
      <c r="V125" s="70">
        <v>1</v>
      </c>
      <c r="W125" s="70" t="s">
        <v>53</v>
      </c>
      <c r="Y125" s="70" t="s">
        <v>44</v>
      </c>
      <c r="AA125" s="70" t="s">
        <v>44</v>
      </c>
      <c r="AB125" s="70" t="s">
        <v>47</v>
      </c>
      <c r="AC125" s="70" t="s">
        <v>412</v>
      </c>
      <c r="AD125" s="291" t="s">
        <v>415</v>
      </c>
      <c r="AF125" s="71" t="s">
        <v>47</v>
      </c>
    </row>
    <row r="126" spans="1:32" s="70" customFormat="1" ht="15">
      <c r="A126" s="70" t="s">
        <v>410</v>
      </c>
      <c r="B126" s="68">
        <v>45035</v>
      </c>
      <c r="C126" s="68">
        <v>45039</v>
      </c>
      <c r="D126" s="68">
        <v>45410</v>
      </c>
      <c r="E126" s="127">
        <v>45528</v>
      </c>
      <c r="F126" s="68">
        <v>45407</v>
      </c>
      <c r="H126" s="70">
        <v>250</v>
      </c>
      <c r="I126" s="70">
        <v>250</v>
      </c>
      <c r="J126" s="69">
        <f t="shared" si="12"/>
        <v>1</v>
      </c>
      <c r="L126" s="69">
        <f t="shared" si="6"/>
        <v>0</v>
      </c>
      <c r="N126" s="70" t="s">
        <v>57</v>
      </c>
      <c r="O126" s="70" t="s">
        <v>411</v>
      </c>
      <c r="P126" s="128" t="s">
        <v>65</v>
      </c>
      <c r="Q126" s="70" t="s">
        <v>37</v>
      </c>
      <c r="R126" s="70" t="s">
        <v>38</v>
      </c>
      <c r="S126" s="97">
        <v>300</v>
      </c>
      <c r="T126" s="70" t="s">
        <v>52</v>
      </c>
      <c r="V126" s="70">
        <v>1</v>
      </c>
      <c r="W126" s="70" t="s">
        <v>53</v>
      </c>
      <c r="Y126" s="70" t="s">
        <v>44</v>
      </c>
      <c r="AA126" s="70" t="s">
        <v>44</v>
      </c>
      <c r="AB126" s="70" t="s">
        <v>47</v>
      </c>
      <c r="AC126" s="70" t="s">
        <v>412</v>
      </c>
      <c r="AD126" s="291" t="s">
        <v>416</v>
      </c>
      <c r="AF126" s="71" t="s">
        <v>47</v>
      </c>
    </row>
    <row r="127" spans="1:32" s="70" customFormat="1">
      <c r="A127" s="70" t="s">
        <v>410</v>
      </c>
      <c r="B127" s="68">
        <v>45035</v>
      </c>
      <c r="C127" s="68">
        <v>45039</v>
      </c>
      <c r="D127" s="68">
        <v>45410</v>
      </c>
      <c r="E127" s="127">
        <v>45528</v>
      </c>
      <c r="F127" s="68">
        <v>45407</v>
      </c>
      <c r="H127" s="70">
        <v>250</v>
      </c>
      <c r="I127" s="70">
        <v>250</v>
      </c>
      <c r="J127" s="69">
        <f t="shared" si="12"/>
        <v>1</v>
      </c>
      <c r="L127" s="69">
        <f t="shared" si="6"/>
        <v>0</v>
      </c>
      <c r="N127" s="70" t="s">
        <v>57</v>
      </c>
      <c r="O127" s="70" t="s">
        <v>411</v>
      </c>
      <c r="P127" s="128" t="s">
        <v>67</v>
      </c>
      <c r="Q127" s="70" t="s">
        <v>37</v>
      </c>
      <c r="R127" s="70" t="s">
        <v>38</v>
      </c>
      <c r="S127" s="97">
        <v>300</v>
      </c>
      <c r="T127" s="70" t="s">
        <v>52</v>
      </c>
      <c r="V127" s="70">
        <v>1</v>
      </c>
      <c r="W127" s="70" t="s">
        <v>53</v>
      </c>
      <c r="Y127" s="70" t="s">
        <v>44</v>
      </c>
      <c r="AA127" s="70" t="s">
        <v>44</v>
      </c>
      <c r="AB127" s="70" t="s">
        <v>47</v>
      </c>
      <c r="AC127" s="70" t="s">
        <v>412</v>
      </c>
      <c r="AD127" s="291" t="s">
        <v>417</v>
      </c>
      <c r="AF127" s="71" t="s">
        <v>47</v>
      </c>
    </row>
    <row r="128" spans="1:32" s="70" customFormat="1">
      <c r="A128" s="70" t="s">
        <v>410</v>
      </c>
      <c r="B128" s="68">
        <v>45035</v>
      </c>
      <c r="C128" s="68">
        <v>45039</v>
      </c>
      <c r="D128" s="68">
        <v>45410</v>
      </c>
      <c r="E128" s="127">
        <v>45528</v>
      </c>
      <c r="F128" s="68">
        <v>45407</v>
      </c>
      <c r="H128" s="70">
        <v>250</v>
      </c>
      <c r="I128" s="70">
        <v>250</v>
      </c>
      <c r="J128" s="69">
        <f t="shared" si="12"/>
        <v>1</v>
      </c>
      <c r="L128" s="69">
        <f t="shared" si="6"/>
        <v>0</v>
      </c>
      <c r="N128" s="70" t="s">
        <v>57</v>
      </c>
      <c r="O128" s="70" t="s">
        <v>411</v>
      </c>
      <c r="P128" s="128" t="s">
        <v>69</v>
      </c>
      <c r="Q128" s="70" t="s">
        <v>37</v>
      </c>
      <c r="R128" s="70" t="s">
        <v>38</v>
      </c>
      <c r="S128" s="97">
        <v>300</v>
      </c>
      <c r="T128" s="70" t="s">
        <v>52</v>
      </c>
      <c r="V128" s="70">
        <v>1</v>
      </c>
      <c r="W128" s="70" t="s">
        <v>53</v>
      </c>
      <c r="Y128" s="70" t="s">
        <v>44</v>
      </c>
      <c r="AA128" s="70" t="s">
        <v>44</v>
      </c>
      <c r="AB128" s="70" t="s">
        <v>47</v>
      </c>
      <c r="AC128" s="70" t="s">
        <v>412</v>
      </c>
      <c r="AD128" s="291" t="s">
        <v>418</v>
      </c>
      <c r="AF128" s="71" t="s">
        <v>47</v>
      </c>
    </row>
    <row r="129" spans="1:32" s="70" customFormat="1">
      <c r="A129" s="70" t="s">
        <v>410</v>
      </c>
      <c r="B129" s="68">
        <v>45035</v>
      </c>
      <c r="C129" s="68">
        <v>45039</v>
      </c>
      <c r="D129" s="68">
        <v>45410</v>
      </c>
      <c r="E129" s="127">
        <v>45528</v>
      </c>
      <c r="F129" s="68">
        <v>45407</v>
      </c>
      <c r="H129" s="70">
        <v>250</v>
      </c>
      <c r="I129" s="70">
        <v>250</v>
      </c>
      <c r="J129" s="69">
        <f t="shared" ref="J129:J133" si="13">+I129/H129</f>
        <v>1</v>
      </c>
      <c r="L129" s="69">
        <f t="shared" ref="L129:L133" si="14">K129/H129</f>
        <v>0</v>
      </c>
      <c r="N129" s="70" t="s">
        <v>57</v>
      </c>
      <c r="O129" s="70" t="s">
        <v>411</v>
      </c>
      <c r="P129" s="128" t="s">
        <v>419</v>
      </c>
      <c r="Q129" s="70" t="s">
        <v>37</v>
      </c>
      <c r="R129" s="70" t="s">
        <v>38</v>
      </c>
      <c r="S129" s="97">
        <v>300</v>
      </c>
      <c r="T129" s="70" t="s">
        <v>52</v>
      </c>
      <c r="V129" s="70">
        <v>1</v>
      </c>
      <c r="W129" s="70" t="s">
        <v>53</v>
      </c>
      <c r="Y129" s="70" t="s">
        <v>44</v>
      </c>
      <c r="AA129" s="70" t="s">
        <v>44</v>
      </c>
      <c r="AB129" s="70" t="s">
        <v>47</v>
      </c>
      <c r="AC129" s="70" t="s">
        <v>412</v>
      </c>
      <c r="AD129" s="291" t="s">
        <v>420</v>
      </c>
      <c r="AF129" s="71" t="s">
        <v>47</v>
      </c>
    </row>
    <row r="130" spans="1:32" s="70" customFormat="1">
      <c r="A130" s="70" t="s">
        <v>410</v>
      </c>
      <c r="B130" s="68">
        <v>45035</v>
      </c>
      <c r="C130" s="68">
        <v>45039</v>
      </c>
      <c r="D130" s="68">
        <v>45410</v>
      </c>
      <c r="E130" s="127">
        <v>45528</v>
      </c>
      <c r="F130" s="68">
        <v>45407</v>
      </c>
      <c r="H130" s="70">
        <v>250</v>
      </c>
      <c r="I130" s="70">
        <v>250</v>
      </c>
      <c r="J130" s="69">
        <f t="shared" si="13"/>
        <v>1</v>
      </c>
      <c r="L130" s="69">
        <f t="shared" si="14"/>
        <v>0</v>
      </c>
      <c r="N130" s="70" t="s">
        <v>57</v>
      </c>
      <c r="O130" s="70" t="s">
        <v>421</v>
      </c>
      <c r="P130" s="128" t="s">
        <v>59</v>
      </c>
      <c r="Q130" s="70" t="s">
        <v>37</v>
      </c>
      <c r="R130" s="70" t="s">
        <v>38</v>
      </c>
      <c r="S130" s="97">
        <v>300</v>
      </c>
      <c r="T130" s="70" t="s">
        <v>52</v>
      </c>
      <c r="V130" s="70">
        <v>1</v>
      </c>
      <c r="W130" s="70" t="s">
        <v>53</v>
      </c>
      <c r="Y130" s="70" t="s">
        <v>44</v>
      </c>
      <c r="AA130" s="70" t="s">
        <v>44</v>
      </c>
      <c r="AB130" s="70" t="s">
        <v>47</v>
      </c>
      <c r="AC130" s="70" t="s">
        <v>412</v>
      </c>
      <c r="AD130" s="291" t="s">
        <v>422</v>
      </c>
      <c r="AF130" s="71" t="s">
        <v>47</v>
      </c>
    </row>
    <row r="131" spans="1:32" s="70" customFormat="1" ht="15">
      <c r="A131" s="70" t="s">
        <v>410</v>
      </c>
      <c r="B131" s="68">
        <v>45035</v>
      </c>
      <c r="C131" s="68">
        <v>45039</v>
      </c>
      <c r="D131" s="68">
        <v>45410</v>
      </c>
      <c r="E131" s="127">
        <v>45528</v>
      </c>
      <c r="F131" s="68">
        <v>45407</v>
      </c>
      <c r="H131" s="70">
        <v>250</v>
      </c>
      <c r="I131" s="70">
        <v>250</v>
      </c>
      <c r="J131" s="69">
        <f t="shared" si="13"/>
        <v>1</v>
      </c>
      <c r="L131" s="69">
        <f t="shared" si="14"/>
        <v>0</v>
      </c>
      <c r="N131" s="70" t="s">
        <v>57</v>
      </c>
      <c r="O131" s="70" t="s">
        <v>421</v>
      </c>
      <c r="P131" s="128" t="s">
        <v>62</v>
      </c>
      <c r="Q131" s="70" t="s">
        <v>37</v>
      </c>
      <c r="R131" s="70" t="s">
        <v>38</v>
      </c>
      <c r="S131" s="97">
        <v>300</v>
      </c>
      <c r="T131" s="70" t="s">
        <v>52</v>
      </c>
      <c r="V131" s="70">
        <v>1</v>
      </c>
      <c r="W131" s="70" t="s">
        <v>53</v>
      </c>
      <c r="Y131" s="70" t="s">
        <v>44</v>
      </c>
      <c r="AA131" s="70" t="s">
        <v>44</v>
      </c>
      <c r="AB131" s="70" t="s">
        <v>47</v>
      </c>
      <c r="AC131" s="70" t="s">
        <v>412</v>
      </c>
      <c r="AD131" s="291" t="s">
        <v>414</v>
      </c>
      <c r="AF131" s="71" t="s">
        <v>47</v>
      </c>
    </row>
    <row r="132" spans="1:32" s="70" customFormat="1" ht="15">
      <c r="A132" s="70" t="s">
        <v>410</v>
      </c>
      <c r="B132" s="68">
        <v>45035</v>
      </c>
      <c r="C132" s="68">
        <v>45039</v>
      </c>
      <c r="D132" s="68">
        <v>45410</v>
      </c>
      <c r="E132" s="127">
        <v>45528</v>
      </c>
      <c r="F132" s="68">
        <v>45407</v>
      </c>
      <c r="H132" s="70">
        <v>250</v>
      </c>
      <c r="I132" s="70">
        <v>250</v>
      </c>
      <c r="J132" s="69">
        <f t="shared" si="13"/>
        <v>1</v>
      </c>
      <c r="L132" s="69">
        <f t="shared" si="14"/>
        <v>0</v>
      </c>
      <c r="N132" s="70" t="s">
        <v>57</v>
      </c>
      <c r="O132" s="70" t="s">
        <v>421</v>
      </c>
      <c r="P132" s="128" t="s">
        <v>63</v>
      </c>
      <c r="Q132" s="70" t="s">
        <v>37</v>
      </c>
      <c r="R132" s="70" t="s">
        <v>38</v>
      </c>
      <c r="S132" s="97">
        <v>300</v>
      </c>
      <c r="T132" s="70" t="s">
        <v>52</v>
      </c>
      <c r="V132" s="70">
        <v>1</v>
      </c>
      <c r="W132" s="70" t="s">
        <v>53</v>
      </c>
      <c r="Y132" s="70" t="s">
        <v>44</v>
      </c>
      <c r="AA132" s="70" t="s">
        <v>44</v>
      </c>
      <c r="AB132" s="70" t="s">
        <v>47</v>
      </c>
      <c r="AC132" s="70" t="s">
        <v>412</v>
      </c>
      <c r="AD132" s="291" t="s">
        <v>415</v>
      </c>
      <c r="AF132" s="71" t="s">
        <v>47</v>
      </c>
    </row>
    <row r="133" spans="1:32" s="70" customFormat="1">
      <c r="A133" s="70" t="s">
        <v>410</v>
      </c>
      <c r="B133" s="68">
        <v>45035</v>
      </c>
      <c r="C133" s="68">
        <v>45039</v>
      </c>
      <c r="D133" s="68">
        <v>45410</v>
      </c>
      <c r="E133" s="127">
        <v>45528</v>
      </c>
      <c r="F133" s="68">
        <v>45407</v>
      </c>
      <c r="H133" s="70">
        <v>250</v>
      </c>
      <c r="I133" s="70">
        <v>250</v>
      </c>
      <c r="J133" s="69">
        <f t="shared" si="13"/>
        <v>1</v>
      </c>
      <c r="L133" s="69">
        <f t="shared" si="14"/>
        <v>0</v>
      </c>
      <c r="N133" s="70" t="s">
        <v>57</v>
      </c>
      <c r="O133" s="70" t="s">
        <v>421</v>
      </c>
      <c r="P133" s="128" t="s">
        <v>69</v>
      </c>
      <c r="Q133" s="70" t="s">
        <v>37</v>
      </c>
      <c r="R133" s="70" t="s">
        <v>38</v>
      </c>
      <c r="S133" s="97">
        <v>300</v>
      </c>
      <c r="T133" s="70" t="s">
        <v>52</v>
      </c>
      <c r="V133" s="70">
        <v>1</v>
      </c>
      <c r="W133" s="70" t="s">
        <v>53</v>
      </c>
      <c r="Y133" s="70" t="s">
        <v>44</v>
      </c>
      <c r="AA133" s="70" t="s">
        <v>44</v>
      </c>
      <c r="AB133" s="70" t="s">
        <v>47</v>
      </c>
      <c r="AC133" s="70" t="s">
        <v>412</v>
      </c>
      <c r="AD133" s="291" t="s">
        <v>418</v>
      </c>
      <c r="AF133" s="71" t="s">
        <v>47</v>
      </c>
    </row>
    <row r="134" spans="1:32" s="70" customFormat="1">
      <c r="A134" s="70" t="s">
        <v>410</v>
      </c>
      <c r="B134" s="68">
        <v>45035</v>
      </c>
      <c r="C134" s="68">
        <v>45039</v>
      </c>
      <c r="D134" s="68">
        <v>45410</v>
      </c>
      <c r="E134" s="127">
        <v>45528</v>
      </c>
      <c r="F134" s="68">
        <v>45407</v>
      </c>
      <c r="H134" s="70">
        <v>250</v>
      </c>
      <c r="I134" s="70">
        <v>250</v>
      </c>
      <c r="J134" s="69">
        <f t="shared" ref="J134:J145" si="15">+I134/H134</f>
        <v>1</v>
      </c>
      <c r="L134" s="69">
        <f t="shared" ref="L134:L145" si="16">K134/H134</f>
        <v>0</v>
      </c>
      <c r="N134" s="70" t="s">
        <v>57</v>
      </c>
      <c r="O134" s="70" t="s">
        <v>421</v>
      </c>
      <c r="P134" s="128" t="s">
        <v>419</v>
      </c>
      <c r="Q134" s="70" t="s">
        <v>37</v>
      </c>
      <c r="R134" s="70" t="s">
        <v>38</v>
      </c>
      <c r="S134" s="97">
        <v>300</v>
      </c>
      <c r="T134" s="70" t="s">
        <v>52</v>
      </c>
      <c r="V134" s="70">
        <v>1</v>
      </c>
      <c r="W134" s="70" t="s">
        <v>53</v>
      </c>
      <c r="Y134" s="70" t="s">
        <v>44</v>
      </c>
      <c r="AA134" s="70" t="s">
        <v>44</v>
      </c>
      <c r="AB134" s="70" t="s">
        <v>47</v>
      </c>
      <c r="AC134" s="70" t="s">
        <v>412</v>
      </c>
      <c r="AD134" s="291" t="s">
        <v>420</v>
      </c>
      <c r="AF134" s="71" t="s">
        <v>47</v>
      </c>
    </row>
    <row r="135" spans="1:32" s="70" customFormat="1">
      <c r="A135" s="70" t="s">
        <v>410</v>
      </c>
      <c r="B135" s="68">
        <v>45035</v>
      </c>
      <c r="C135" s="68">
        <v>45453</v>
      </c>
      <c r="D135" s="102">
        <v>45508</v>
      </c>
      <c r="E135" s="102">
        <v>45619</v>
      </c>
      <c r="F135" s="68">
        <v>45481</v>
      </c>
      <c r="H135" s="70">
        <v>250</v>
      </c>
      <c r="I135" s="70">
        <v>250</v>
      </c>
      <c r="J135" s="69">
        <f t="shared" si="15"/>
        <v>1</v>
      </c>
      <c r="L135" s="69">
        <f t="shared" si="16"/>
        <v>0</v>
      </c>
      <c r="N135" s="70" t="s">
        <v>57</v>
      </c>
      <c r="O135" s="70" t="s">
        <v>423</v>
      </c>
      <c r="P135" s="70" t="s">
        <v>59</v>
      </c>
      <c r="Q135" s="70" t="s">
        <v>37</v>
      </c>
      <c r="R135" s="70" t="s">
        <v>38</v>
      </c>
      <c r="S135" s="97">
        <v>300</v>
      </c>
      <c r="T135" s="70" t="s">
        <v>52</v>
      </c>
      <c r="V135" s="70">
        <v>1</v>
      </c>
      <c r="W135" s="70" t="s">
        <v>53</v>
      </c>
      <c r="Y135" s="70" t="s">
        <v>44</v>
      </c>
      <c r="AA135" s="70" t="s">
        <v>44</v>
      </c>
      <c r="AB135" s="70" t="s">
        <v>47</v>
      </c>
      <c r="AC135" s="70" t="s">
        <v>424</v>
      </c>
      <c r="AD135" s="291" t="s">
        <v>425</v>
      </c>
      <c r="AF135" s="71" t="s">
        <v>47</v>
      </c>
    </row>
    <row r="136" spans="1:32" s="70" customFormat="1">
      <c r="A136" s="70" t="s">
        <v>410</v>
      </c>
      <c r="B136" s="68">
        <v>45035</v>
      </c>
      <c r="C136" s="68">
        <v>45453</v>
      </c>
      <c r="D136" s="102">
        <v>45508</v>
      </c>
      <c r="E136" s="102">
        <v>45619</v>
      </c>
      <c r="F136" s="68">
        <v>45481</v>
      </c>
      <c r="H136" s="70">
        <v>250</v>
      </c>
      <c r="I136" s="70">
        <v>250</v>
      </c>
      <c r="J136" s="69">
        <f t="shared" si="15"/>
        <v>1</v>
      </c>
      <c r="L136" s="69">
        <f t="shared" si="16"/>
        <v>0</v>
      </c>
      <c r="N136" s="70" t="s">
        <v>57</v>
      </c>
      <c r="O136" s="70" t="s">
        <v>423</v>
      </c>
      <c r="P136" s="70" t="s">
        <v>62</v>
      </c>
      <c r="Q136" s="70" t="s">
        <v>37</v>
      </c>
      <c r="R136" s="70" t="s">
        <v>38</v>
      </c>
      <c r="S136" s="97">
        <v>300</v>
      </c>
      <c r="T136" s="70" t="s">
        <v>52</v>
      </c>
      <c r="V136" s="70">
        <v>1</v>
      </c>
      <c r="W136" s="70" t="s">
        <v>53</v>
      </c>
      <c r="Y136" s="70" t="s">
        <v>44</v>
      </c>
      <c r="AA136" s="70" t="s">
        <v>44</v>
      </c>
      <c r="AB136" s="70" t="s">
        <v>47</v>
      </c>
      <c r="AC136" s="70" t="s">
        <v>424</v>
      </c>
      <c r="AD136" s="291" t="s">
        <v>426</v>
      </c>
      <c r="AF136" s="71" t="s">
        <v>47</v>
      </c>
    </row>
    <row r="137" spans="1:32" s="70" customFormat="1">
      <c r="A137" s="70" t="s">
        <v>410</v>
      </c>
      <c r="B137" s="68">
        <v>45035</v>
      </c>
      <c r="C137" s="68">
        <v>45453</v>
      </c>
      <c r="D137" s="102">
        <v>45508</v>
      </c>
      <c r="E137" s="102">
        <v>45619</v>
      </c>
      <c r="F137" s="68">
        <v>45481</v>
      </c>
      <c r="H137" s="70">
        <v>250</v>
      </c>
      <c r="I137" s="70">
        <v>250</v>
      </c>
      <c r="J137" s="69">
        <f t="shared" si="15"/>
        <v>1</v>
      </c>
      <c r="L137" s="69">
        <f t="shared" si="16"/>
        <v>0</v>
      </c>
      <c r="N137" s="70" t="s">
        <v>57</v>
      </c>
      <c r="O137" s="70" t="s">
        <v>423</v>
      </c>
      <c r="P137" s="70" t="s">
        <v>63</v>
      </c>
      <c r="Q137" s="70" t="s">
        <v>37</v>
      </c>
      <c r="R137" s="70" t="s">
        <v>38</v>
      </c>
      <c r="S137" s="97">
        <v>300</v>
      </c>
      <c r="T137" s="70" t="s">
        <v>52</v>
      </c>
      <c r="V137" s="70">
        <v>1</v>
      </c>
      <c r="W137" s="70" t="s">
        <v>53</v>
      </c>
      <c r="Y137" s="70" t="s">
        <v>44</v>
      </c>
      <c r="AA137" s="70" t="s">
        <v>44</v>
      </c>
      <c r="AB137" s="70" t="s">
        <v>47</v>
      </c>
      <c r="AC137" s="70" t="s">
        <v>424</v>
      </c>
      <c r="AD137" s="291" t="s">
        <v>427</v>
      </c>
      <c r="AF137" s="71" t="s">
        <v>47</v>
      </c>
    </row>
    <row r="138" spans="1:32" s="70" customFormat="1">
      <c r="A138" s="70" t="s">
        <v>410</v>
      </c>
      <c r="B138" s="68">
        <v>45035</v>
      </c>
      <c r="C138" s="68">
        <v>45453</v>
      </c>
      <c r="D138" s="102">
        <v>45508</v>
      </c>
      <c r="E138" s="102">
        <v>45619</v>
      </c>
      <c r="F138" s="68">
        <v>45481</v>
      </c>
      <c r="H138" s="70">
        <v>250</v>
      </c>
      <c r="I138" s="70">
        <v>250</v>
      </c>
      <c r="J138" s="69">
        <f t="shared" si="15"/>
        <v>1</v>
      </c>
      <c r="L138" s="69">
        <f t="shared" si="16"/>
        <v>0</v>
      </c>
      <c r="N138" s="70" t="s">
        <v>57</v>
      </c>
      <c r="O138" s="70" t="s">
        <v>423</v>
      </c>
      <c r="P138" s="70" t="s">
        <v>65</v>
      </c>
      <c r="Q138" s="70" t="s">
        <v>37</v>
      </c>
      <c r="R138" s="70" t="s">
        <v>38</v>
      </c>
      <c r="S138" s="97">
        <v>300</v>
      </c>
      <c r="T138" s="70" t="s">
        <v>52</v>
      </c>
      <c r="V138" s="70">
        <v>1</v>
      </c>
      <c r="W138" s="70" t="s">
        <v>53</v>
      </c>
      <c r="Y138" s="70" t="s">
        <v>44</v>
      </c>
      <c r="AA138" s="70" t="s">
        <v>44</v>
      </c>
      <c r="AB138" s="70" t="s">
        <v>47</v>
      </c>
      <c r="AC138" s="70" t="s">
        <v>424</v>
      </c>
      <c r="AD138" s="291" t="s">
        <v>428</v>
      </c>
      <c r="AF138" s="71" t="s">
        <v>47</v>
      </c>
    </row>
    <row r="139" spans="1:32" s="70" customFormat="1">
      <c r="A139" s="70" t="s">
        <v>410</v>
      </c>
      <c r="B139" s="68">
        <v>45035</v>
      </c>
      <c r="C139" s="68">
        <v>45453</v>
      </c>
      <c r="D139" s="102">
        <v>45508</v>
      </c>
      <c r="E139" s="102">
        <v>45619</v>
      </c>
      <c r="F139" s="68">
        <v>45481</v>
      </c>
      <c r="H139" s="70">
        <v>250</v>
      </c>
      <c r="I139" s="70">
        <v>250</v>
      </c>
      <c r="J139" s="69">
        <f t="shared" si="15"/>
        <v>1</v>
      </c>
      <c r="L139" s="69">
        <f t="shared" si="16"/>
        <v>0</v>
      </c>
      <c r="N139" s="70" t="s">
        <v>57</v>
      </c>
      <c r="O139" s="70" t="s">
        <v>423</v>
      </c>
      <c r="P139" s="70" t="s">
        <v>67</v>
      </c>
      <c r="Q139" s="70" t="s">
        <v>37</v>
      </c>
      <c r="R139" s="70" t="s">
        <v>38</v>
      </c>
      <c r="S139" s="97">
        <v>300</v>
      </c>
      <c r="T139" s="70" t="s">
        <v>52</v>
      </c>
      <c r="V139" s="70">
        <v>1</v>
      </c>
      <c r="W139" s="70" t="s">
        <v>53</v>
      </c>
      <c r="Y139" s="70" t="s">
        <v>44</v>
      </c>
      <c r="AA139" s="70" t="s">
        <v>44</v>
      </c>
      <c r="AB139" s="70" t="s">
        <v>47</v>
      </c>
      <c r="AC139" s="70" t="s">
        <v>424</v>
      </c>
      <c r="AD139" s="291" t="s">
        <v>429</v>
      </c>
      <c r="AF139" s="71" t="s">
        <v>47</v>
      </c>
    </row>
    <row r="140" spans="1:32" s="70" customFormat="1">
      <c r="A140" s="70" t="s">
        <v>410</v>
      </c>
      <c r="B140" s="68">
        <v>45035</v>
      </c>
      <c r="C140" s="68">
        <v>45453</v>
      </c>
      <c r="D140" s="102">
        <v>45508</v>
      </c>
      <c r="E140" s="102">
        <v>45619</v>
      </c>
      <c r="F140" s="68">
        <v>45481</v>
      </c>
      <c r="H140" s="70">
        <v>250</v>
      </c>
      <c r="I140" s="70">
        <v>250</v>
      </c>
      <c r="J140" s="69">
        <f t="shared" si="15"/>
        <v>1</v>
      </c>
      <c r="L140" s="69">
        <f t="shared" si="16"/>
        <v>0</v>
      </c>
      <c r="N140" s="70" t="s">
        <v>57</v>
      </c>
      <c r="O140" s="70" t="s">
        <v>423</v>
      </c>
      <c r="P140" s="70" t="s">
        <v>69</v>
      </c>
      <c r="Q140" s="70" t="s">
        <v>37</v>
      </c>
      <c r="R140" s="70" t="s">
        <v>38</v>
      </c>
      <c r="S140" s="97">
        <v>300</v>
      </c>
      <c r="T140" s="70" t="s">
        <v>52</v>
      </c>
      <c r="V140" s="70">
        <v>1</v>
      </c>
      <c r="W140" s="70" t="s">
        <v>53</v>
      </c>
      <c r="Y140" s="70" t="s">
        <v>44</v>
      </c>
      <c r="AA140" s="70" t="s">
        <v>44</v>
      </c>
      <c r="AB140" s="70" t="s">
        <v>47</v>
      </c>
      <c r="AC140" s="70" t="s">
        <v>424</v>
      </c>
      <c r="AD140" s="291" t="s">
        <v>430</v>
      </c>
      <c r="AF140" s="71" t="s">
        <v>47</v>
      </c>
    </row>
    <row r="141" spans="1:32" s="70" customFormat="1">
      <c r="A141" s="70" t="s">
        <v>410</v>
      </c>
      <c r="B141" s="68">
        <v>45035</v>
      </c>
      <c r="C141" s="68">
        <v>45453</v>
      </c>
      <c r="D141" s="102">
        <v>45508</v>
      </c>
      <c r="E141" s="102">
        <v>45619</v>
      </c>
      <c r="F141" s="68">
        <v>45481</v>
      </c>
      <c r="H141" s="70">
        <v>250</v>
      </c>
      <c r="I141" s="70">
        <v>250</v>
      </c>
      <c r="J141" s="69">
        <f t="shared" si="15"/>
        <v>1</v>
      </c>
      <c r="L141" s="69">
        <f t="shared" si="16"/>
        <v>0</v>
      </c>
      <c r="N141" s="70" t="s">
        <v>57</v>
      </c>
      <c r="O141" s="70" t="s">
        <v>423</v>
      </c>
      <c r="P141" s="70" t="s">
        <v>419</v>
      </c>
      <c r="Q141" s="70" t="s">
        <v>37</v>
      </c>
      <c r="R141" s="70" t="s">
        <v>38</v>
      </c>
      <c r="S141" s="97">
        <v>300</v>
      </c>
      <c r="T141" s="70" t="s">
        <v>52</v>
      </c>
      <c r="V141" s="70">
        <v>1</v>
      </c>
      <c r="W141" s="70" t="s">
        <v>53</v>
      </c>
      <c r="Y141" s="70" t="s">
        <v>44</v>
      </c>
      <c r="AA141" s="70" t="s">
        <v>44</v>
      </c>
      <c r="AB141" s="70" t="s">
        <v>47</v>
      </c>
      <c r="AC141" s="70" t="s">
        <v>424</v>
      </c>
      <c r="AD141" s="291" t="s">
        <v>431</v>
      </c>
      <c r="AF141" s="71" t="s">
        <v>47</v>
      </c>
    </row>
    <row r="142" spans="1:32" s="70" customFormat="1">
      <c r="A142" s="70" t="s">
        <v>410</v>
      </c>
      <c r="B142" s="68">
        <v>45035</v>
      </c>
      <c r="C142" s="68">
        <v>45453</v>
      </c>
      <c r="D142" s="102">
        <v>45508</v>
      </c>
      <c r="E142" s="102">
        <v>45619</v>
      </c>
      <c r="F142" s="68">
        <v>45481</v>
      </c>
      <c r="H142" s="70">
        <v>250</v>
      </c>
      <c r="I142" s="70">
        <v>250</v>
      </c>
      <c r="J142" s="69">
        <f t="shared" si="15"/>
        <v>1</v>
      </c>
      <c r="L142" s="69">
        <f t="shared" si="16"/>
        <v>0</v>
      </c>
      <c r="N142" s="70" t="s">
        <v>57</v>
      </c>
      <c r="O142" s="70" t="s">
        <v>432</v>
      </c>
      <c r="P142" s="70" t="s">
        <v>59</v>
      </c>
      <c r="Q142" s="70" t="s">
        <v>37</v>
      </c>
      <c r="R142" s="70" t="s">
        <v>38</v>
      </c>
      <c r="S142" s="97">
        <v>300</v>
      </c>
      <c r="T142" s="70" t="s">
        <v>52</v>
      </c>
      <c r="V142" s="70">
        <v>1</v>
      </c>
      <c r="W142" s="70" t="s">
        <v>53</v>
      </c>
      <c r="Y142" s="70" t="s">
        <v>44</v>
      </c>
      <c r="AA142" s="70" t="s">
        <v>44</v>
      </c>
      <c r="AB142" s="70" t="s">
        <v>47</v>
      </c>
      <c r="AC142" s="70" t="s">
        <v>424</v>
      </c>
      <c r="AD142" s="291" t="s">
        <v>433</v>
      </c>
      <c r="AF142" s="71" t="s">
        <v>47</v>
      </c>
    </row>
    <row r="143" spans="1:32" s="70" customFormat="1">
      <c r="A143" s="70" t="s">
        <v>410</v>
      </c>
      <c r="B143" s="68">
        <v>45035</v>
      </c>
      <c r="C143" s="68">
        <v>45453</v>
      </c>
      <c r="D143" s="102">
        <v>45508</v>
      </c>
      <c r="E143" s="102">
        <v>45619</v>
      </c>
      <c r="F143" s="68">
        <v>45481</v>
      </c>
      <c r="H143" s="70">
        <v>250</v>
      </c>
      <c r="I143" s="70">
        <v>250</v>
      </c>
      <c r="J143" s="69">
        <f t="shared" si="15"/>
        <v>1</v>
      </c>
      <c r="L143" s="69">
        <f t="shared" si="16"/>
        <v>0</v>
      </c>
      <c r="N143" s="70" t="s">
        <v>57</v>
      </c>
      <c r="O143" s="70" t="s">
        <v>432</v>
      </c>
      <c r="P143" s="70" t="s">
        <v>62</v>
      </c>
      <c r="Q143" s="70" t="s">
        <v>37</v>
      </c>
      <c r="R143" s="70" t="s">
        <v>38</v>
      </c>
      <c r="S143" s="97">
        <v>300</v>
      </c>
      <c r="T143" s="70" t="s">
        <v>52</v>
      </c>
      <c r="V143" s="70">
        <v>1</v>
      </c>
      <c r="W143" s="70" t="s">
        <v>53</v>
      </c>
      <c r="Y143" s="70" t="s">
        <v>44</v>
      </c>
      <c r="AA143" s="70" t="s">
        <v>44</v>
      </c>
      <c r="AB143" s="70" t="s">
        <v>47</v>
      </c>
      <c r="AC143" s="70" t="s">
        <v>424</v>
      </c>
      <c r="AD143" s="291" t="s">
        <v>426</v>
      </c>
      <c r="AF143" s="71" t="s">
        <v>47</v>
      </c>
    </row>
    <row r="144" spans="1:32" s="70" customFormat="1">
      <c r="A144" s="70" t="s">
        <v>410</v>
      </c>
      <c r="B144" s="68">
        <v>45035</v>
      </c>
      <c r="C144" s="68">
        <v>45453</v>
      </c>
      <c r="D144" s="102">
        <v>45508</v>
      </c>
      <c r="E144" s="102">
        <v>45619</v>
      </c>
      <c r="F144" s="68">
        <v>45481</v>
      </c>
      <c r="H144" s="70">
        <v>250</v>
      </c>
      <c r="I144" s="70">
        <v>250</v>
      </c>
      <c r="J144" s="69">
        <f t="shared" si="15"/>
        <v>1</v>
      </c>
      <c r="L144" s="69">
        <f t="shared" si="16"/>
        <v>0</v>
      </c>
      <c r="N144" s="70" t="s">
        <v>57</v>
      </c>
      <c r="O144" s="70" t="s">
        <v>432</v>
      </c>
      <c r="P144" s="128" t="s">
        <v>63</v>
      </c>
      <c r="Q144" s="70" t="s">
        <v>37</v>
      </c>
      <c r="R144" s="70" t="s">
        <v>38</v>
      </c>
      <c r="S144" s="97">
        <v>300</v>
      </c>
      <c r="T144" s="70" t="s">
        <v>52</v>
      </c>
      <c r="V144" s="70">
        <v>1</v>
      </c>
      <c r="W144" s="70" t="s">
        <v>53</v>
      </c>
      <c r="Y144" s="70" t="s">
        <v>44</v>
      </c>
      <c r="AA144" s="70" t="s">
        <v>44</v>
      </c>
      <c r="AB144" s="70" t="s">
        <v>47</v>
      </c>
      <c r="AC144" s="70" t="s">
        <v>424</v>
      </c>
      <c r="AD144" s="291" t="s">
        <v>427</v>
      </c>
      <c r="AF144" s="71" t="s">
        <v>47</v>
      </c>
    </row>
    <row r="145" spans="1:32" s="70" customFormat="1">
      <c r="A145" s="70" t="s">
        <v>410</v>
      </c>
      <c r="B145" s="68">
        <v>45035</v>
      </c>
      <c r="C145" s="68">
        <v>45453</v>
      </c>
      <c r="D145" s="102">
        <v>45508</v>
      </c>
      <c r="E145" s="102">
        <v>45619</v>
      </c>
      <c r="F145" s="68">
        <v>45481</v>
      </c>
      <c r="H145" s="70">
        <v>250</v>
      </c>
      <c r="I145" s="70">
        <v>250</v>
      </c>
      <c r="J145" s="69">
        <f t="shared" si="15"/>
        <v>1</v>
      </c>
      <c r="L145" s="69">
        <f t="shared" si="16"/>
        <v>0</v>
      </c>
      <c r="N145" s="70" t="s">
        <v>57</v>
      </c>
      <c r="O145" s="70" t="s">
        <v>432</v>
      </c>
      <c r="P145" s="70" t="s">
        <v>69</v>
      </c>
      <c r="Q145" s="70" t="s">
        <v>37</v>
      </c>
      <c r="R145" s="70" t="s">
        <v>38</v>
      </c>
      <c r="S145" s="97">
        <v>300</v>
      </c>
      <c r="T145" s="70" t="s">
        <v>52</v>
      </c>
      <c r="V145" s="70">
        <v>1</v>
      </c>
      <c r="W145" s="70" t="s">
        <v>53</v>
      </c>
      <c r="Y145" s="70" t="s">
        <v>44</v>
      </c>
      <c r="AA145" s="70" t="s">
        <v>44</v>
      </c>
      <c r="AB145" s="70" t="s">
        <v>47</v>
      </c>
      <c r="AC145" s="70" t="s">
        <v>424</v>
      </c>
      <c r="AD145" s="291" t="s">
        <v>430</v>
      </c>
      <c r="AF145" s="71" t="s">
        <v>47</v>
      </c>
    </row>
    <row r="146" spans="1:32" s="70" customFormat="1">
      <c r="A146" s="70" t="s">
        <v>410</v>
      </c>
      <c r="B146" s="68">
        <v>45035</v>
      </c>
      <c r="C146" s="68">
        <v>45453</v>
      </c>
      <c r="D146" s="102">
        <v>45508</v>
      </c>
      <c r="E146" s="102">
        <v>45619</v>
      </c>
      <c r="F146" s="68">
        <v>45481</v>
      </c>
      <c r="H146" s="70">
        <v>250</v>
      </c>
      <c r="I146" s="70">
        <v>250</v>
      </c>
      <c r="J146" s="69">
        <f t="shared" ref="J146:J157" si="17">+I146/H146</f>
        <v>1</v>
      </c>
      <c r="L146" s="69">
        <f t="shared" ref="L146:L157" si="18">K146/H146</f>
        <v>0</v>
      </c>
      <c r="N146" s="70" t="s">
        <v>57</v>
      </c>
      <c r="O146" s="70" t="s">
        <v>432</v>
      </c>
      <c r="P146" s="70" t="s">
        <v>419</v>
      </c>
      <c r="Q146" s="70" t="s">
        <v>37</v>
      </c>
      <c r="R146" s="70" t="s">
        <v>38</v>
      </c>
      <c r="S146" s="97">
        <v>300</v>
      </c>
      <c r="T146" s="70" t="s">
        <v>52</v>
      </c>
      <c r="V146" s="70">
        <v>1</v>
      </c>
      <c r="W146" s="70" t="s">
        <v>53</v>
      </c>
      <c r="Y146" s="70" t="s">
        <v>44</v>
      </c>
      <c r="AA146" s="70" t="s">
        <v>44</v>
      </c>
      <c r="AB146" s="70" t="s">
        <v>47</v>
      </c>
      <c r="AC146" s="70" t="s">
        <v>424</v>
      </c>
      <c r="AD146" s="291" t="s">
        <v>431</v>
      </c>
      <c r="AF146" s="71" t="s">
        <v>47</v>
      </c>
    </row>
    <row r="147" spans="1:32" s="70" customFormat="1">
      <c r="A147" s="70" t="s">
        <v>410</v>
      </c>
      <c r="B147" s="68">
        <v>45035</v>
      </c>
      <c r="C147" s="68">
        <v>45544</v>
      </c>
      <c r="D147" s="68">
        <v>45599</v>
      </c>
      <c r="E147" s="166">
        <v>45710</v>
      </c>
      <c r="F147" s="68">
        <v>45572</v>
      </c>
      <c r="H147" s="70">
        <v>250</v>
      </c>
      <c r="I147" s="70">
        <v>250</v>
      </c>
      <c r="J147" s="69">
        <f t="shared" si="17"/>
        <v>1</v>
      </c>
      <c r="L147" s="69">
        <f t="shared" si="18"/>
        <v>0</v>
      </c>
      <c r="N147" s="70" t="s">
        <v>57</v>
      </c>
      <c r="O147" s="70" t="s">
        <v>434</v>
      </c>
      <c r="P147" s="70" t="s">
        <v>59</v>
      </c>
      <c r="Q147" s="70" t="s">
        <v>37</v>
      </c>
      <c r="R147" s="70" t="s">
        <v>38</v>
      </c>
      <c r="S147" s="97">
        <v>300</v>
      </c>
      <c r="T147" s="70" t="s">
        <v>52</v>
      </c>
      <c r="V147" s="70">
        <v>1</v>
      </c>
      <c r="W147" s="70" t="s">
        <v>53</v>
      </c>
      <c r="Y147" s="70" t="s">
        <v>44</v>
      </c>
      <c r="AA147" s="70" t="s">
        <v>44</v>
      </c>
      <c r="AB147" s="70" t="s">
        <v>47</v>
      </c>
      <c r="AD147" s="291"/>
      <c r="AF147" s="71"/>
    </row>
    <row r="148" spans="1:32" s="70" customFormat="1">
      <c r="A148" s="70" t="s">
        <v>410</v>
      </c>
      <c r="B148" s="68">
        <v>45035</v>
      </c>
      <c r="C148" s="68">
        <v>45544</v>
      </c>
      <c r="D148" s="68">
        <v>45599</v>
      </c>
      <c r="E148" s="166">
        <v>45710</v>
      </c>
      <c r="F148" s="68">
        <v>45572</v>
      </c>
      <c r="H148" s="70">
        <v>250</v>
      </c>
      <c r="I148" s="70">
        <v>250</v>
      </c>
      <c r="J148" s="69">
        <f t="shared" si="17"/>
        <v>1</v>
      </c>
      <c r="L148" s="69">
        <f t="shared" si="18"/>
        <v>0</v>
      </c>
      <c r="N148" s="70" t="s">
        <v>57</v>
      </c>
      <c r="O148" s="70" t="s">
        <v>434</v>
      </c>
      <c r="P148" s="70" t="s">
        <v>62</v>
      </c>
      <c r="Q148" s="70" t="s">
        <v>37</v>
      </c>
      <c r="R148" s="70" t="s">
        <v>38</v>
      </c>
      <c r="S148" s="97">
        <v>300</v>
      </c>
      <c r="T148" s="70" t="s">
        <v>52</v>
      </c>
      <c r="V148" s="70">
        <v>1</v>
      </c>
      <c r="W148" s="70" t="s">
        <v>53</v>
      </c>
      <c r="Y148" s="70" t="s">
        <v>44</v>
      </c>
      <c r="AA148" s="70" t="s">
        <v>44</v>
      </c>
      <c r="AB148" s="70" t="s">
        <v>47</v>
      </c>
      <c r="AD148" s="291"/>
      <c r="AF148" s="71"/>
    </row>
    <row r="149" spans="1:32" s="70" customFormat="1">
      <c r="A149" s="70" t="s">
        <v>410</v>
      </c>
      <c r="B149" s="68">
        <v>45035</v>
      </c>
      <c r="C149" s="68">
        <v>45544</v>
      </c>
      <c r="D149" s="68">
        <v>45599</v>
      </c>
      <c r="E149" s="166">
        <v>45710</v>
      </c>
      <c r="F149" s="68">
        <v>45572</v>
      </c>
      <c r="H149" s="70">
        <v>250</v>
      </c>
      <c r="I149" s="70">
        <v>250</v>
      </c>
      <c r="J149" s="69">
        <f t="shared" si="17"/>
        <v>1</v>
      </c>
      <c r="L149" s="69">
        <f t="shared" si="18"/>
        <v>0</v>
      </c>
      <c r="N149" s="70" t="s">
        <v>57</v>
      </c>
      <c r="O149" s="70" t="s">
        <v>434</v>
      </c>
      <c r="P149" s="70" t="s">
        <v>63</v>
      </c>
      <c r="Q149" s="70" t="s">
        <v>37</v>
      </c>
      <c r="R149" s="70" t="s">
        <v>38</v>
      </c>
      <c r="S149" s="97">
        <v>300</v>
      </c>
      <c r="T149" s="70" t="s">
        <v>52</v>
      </c>
      <c r="V149" s="70">
        <v>1</v>
      </c>
      <c r="W149" s="70" t="s">
        <v>53</v>
      </c>
      <c r="Y149" s="70" t="s">
        <v>44</v>
      </c>
      <c r="AA149" s="70" t="s">
        <v>44</v>
      </c>
      <c r="AB149" s="70" t="s">
        <v>47</v>
      </c>
      <c r="AD149" s="291"/>
      <c r="AF149" s="71"/>
    </row>
    <row r="150" spans="1:32" s="70" customFormat="1">
      <c r="A150" s="70" t="s">
        <v>410</v>
      </c>
      <c r="B150" s="68">
        <v>45035</v>
      </c>
      <c r="C150" s="68">
        <v>45544</v>
      </c>
      <c r="D150" s="68">
        <v>45599</v>
      </c>
      <c r="E150" s="166">
        <v>45710</v>
      </c>
      <c r="F150" s="68">
        <v>45572</v>
      </c>
      <c r="H150" s="70">
        <v>250</v>
      </c>
      <c r="I150" s="70">
        <v>250</v>
      </c>
      <c r="J150" s="69">
        <f t="shared" si="17"/>
        <v>1</v>
      </c>
      <c r="L150" s="69">
        <f t="shared" si="18"/>
        <v>0</v>
      </c>
      <c r="N150" s="70" t="s">
        <v>57</v>
      </c>
      <c r="O150" s="70" t="s">
        <v>434</v>
      </c>
      <c r="P150" s="70" t="s">
        <v>65</v>
      </c>
      <c r="Q150" s="70" t="s">
        <v>37</v>
      </c>
      <c r="R150" s="70" t="s">
        <v>38</v>
      </c>
      <c r="S150" s="97">
        <v>300</v>
      </c>
      <c r="T150" s="70" t="s">
        <v>52</v>
      </c>
      <c r="V150" s="70">
        <v>1</v>
      </c>
      <c r="W150" s="70" t="s">
        <v>53</v>
      </c>
      <c r="Y150" s="70" t="s">
        <v>44</v>
      </c>
      <c r="AA150" s="70" t="s">
        <v>44</v>
      </c>
      <c r="AB150" s="70" t="s">
        <v>47</v>
      </c>
      <c r="AD150" s="291"/>
      <c r="AF150" s="71"/>
    </row>
    <row r="151" spans="1:32" s="70" customFormat="1">
      <c r="A151" s="70" t="s">
        <v>410</v>
      </c>
      <c r="B151" s="68">
        <v>45035</v>
      </c>
      <c r="C151" s="68">
        <v>45544</v>
      </c>
      <c r="D151" s="68">
        <v>45599</v>
      </c>
      <c r="E151" s="166">
        <v>45710</v>
      </c>
      <c r="F151" s="68">
        <v>45572</v>
      </c>
      <c r="H151" s="70">
        <v>250</v>
      </c>
      <c r="I151" s="70">
        <v>250</v>
      </c>
      <c r="J151" s="69">
        <f t="shared" si="17"/>
        <v>1</v>
      </c>
      <c r="L151" s="69">
        <f t="shared" si="18"/>
        <v>0</v>
      </c>
      <c r="N151" s="70" t="s">
        <v>57</v>
      </c>
      <c r="O151" s="70" t="s">
        <v>434</v>
      </c>
      <c r="P151" s="70" t="s">
        <v>67</v>
      </c>
      <c r="Q151" s="70" t="s">
        <v>37</v>
      </c>
      <c r="R151" s="70" t="s">
        <v>38</v>
      </c>
      <c r="S151" s="97">
        <v>300</v>
      </c>
      <c r="T151" s="70" t="s">
        <v>52</v>
      </c>
      <c r="V151" s="70">
        <v>1</v>
      </c>
      <c r="W151" s="70" t="s">
        <v>53</v>
      </c>
      <c r="Y151" s="70" t="s">
        <v>44</v>
      </c>
      <c r="AA151" s="70" t="s">
        <v>44</v>
      </c>
      <c r="AB151" s="70" t="s">
        <v>47</v>
      </c>
      <c r="AD151" s="291"/>
      <c r="AF151" s="71"/>
    </row>
    <row r="152" spans="1:32" s="70" customFormat="1">
      <c r="A152" s="70" t="s">
        <v>410</v>
      </c>
      <c r="B152" s="68">
        <v>45035</v>
      </c>
      <c r="C152" s="68">
        <v>45544</v>
      </c>
      <c r="D152" s="68">
        <v>45599</v>
      </c>
      <c r="E152" s="166">
        <v>45710</v>
      </c>
      <c r="F152" s="68">
        <v>45572</v>
      </c>
      <c r="H152" s="70">
        <v>250</v>
      </c>
      <c r="I152" s="70">
        <v>250</v>
      </c>
      <c r="J152" s="69">
        <f t="shared" si="17"/>
        <v>1</v>
      </c>
      <c r="L152" s="69">
        <f t="shared" si="18"/>
        <v>0</v>
      </c>
      <c r="N152" s="70" t="s">
        <v>57</v>
      </c>
      <c r="O152" s="70" t="s">
        <v>434</v>
      </c>
      <c r="P152" s="70" t="s">
        <v>69</v>
      </c>
      <c r="Q152" s="70" t="s">
        <v>37</v>
      </c>
      <c r="R152" s="70" t="s">
        <v>38</v>
      </c>
      <c r="S152" s="97">
        <v>300</v>
      </c>
      <c r="T152" s="70" t="s">
        <v>52</v>
      </c>
      <c r="V152" s="70">
        <v>1</v>
      </c>
      <c r="W152" s="70" t="s">
        <v>53</v>
      </c>
      <c r="Y152" s="70" t="s">
        <v>44</v>
      </c>
      <c r="AA152" s="70" t="s">
        <v>44</v>
      </c>
      <c r="AB152" s="70" t="s">
        <v>47</v>
      </c>
      <c r="AD152" s="291"/>
      <c r="AF152" s="71"/>
    </row>
    <row r="153" spans="1:32" s="70" customFormat="1">
      <c r="A153" s="70" t="s">
        <v>410</v>
      </c>
      <c r="B153" s="68">
        <v>45035</v>
      </c>
      <c r="C153" s="68">
        <v>45544</v>
      </c>
      <c r="D153" s="68">
        <v>45599</v>
      </c>
      <c r="E153" s="166">
        <v>45710</v>
      </c>
      <c r="F153" s="68">
        <v>45572</v>
      </c>
      <c r="H153" s="70">
        <v>250</v>
      </c>
      <c r="I153" s="70">
        <v>250</v>
      </c>
      <c r="J153" s="69">
        <f t="shared" si="17"/>
        <v>1</v>
      </c>
      <c r="L153" s="69">
        <f t="shared" si="18"/>
        <v>0</v>
      </c>
      <c r="N153" s="70" t="s">
        <v>57</v>
      </c>
      <c r="O153" s="70" t="s">
        <v>434</v>
      </c>
      <c r="P153" s="70" t="s">
        <v>419</v>
      </c>
      <c r="Q153" s="70" t="s">
        <v>37</v>
      </c>
      <c r="R153" s="70" t="s">
        <v>38</v>
      </c>
      <c r="S153" s="97">
        <v>300</v>
      </c>
      <c r="T153" s="70" t="s">
        <v>52</v>
      </c>
      <c r="V153" s="70">
        <v>1</v>
      </c>
      <c r="W153" s="70" t="s">
        <v>53</v>
      </c>
      <c r="Y153" s="70" t="s">
        <v>44</v>
      </c>
      <c r="AA153" s="70" t="s">
        <v>44</v>
      </c>
      <c r="AB153" s="70" t="s">
        <v>47</v>
      </c>
      <c r="AD153" s="291"/>
      <c r="AF153" s="71"/>
    </row>
    <row r="154" spans="1:32" s="70" customFormat="1">
      <c r="A154" s="70" t="s">
        <v>410</v>
      </c>
      <c r="B154" s="68">
        <v>45035</v>
      </c>
      <c r="C154" s="68">
        <v>45544</v>
      </c>
      <c r="D154" s="68">
        <v>45599</v>
      </c>
      <c r="E154" s="166">
        <v>45710</v>
      </c>
      <c r="F154" s="68">
        <v>45572</v>
      </c>
      <c r="H154" s="70">
        <v>250</v>
      </c>
      <c r="I154" s="70">
        <v>250</v>
      </c>
      <c r="J154" s="69">
        <f t="shared" si="17"/>
        <v>1</v>
      </c>
      <c r="L154" s="69">
        <f t="shared" si="18"/>
        <v>0</v>
      </c>
      <c r="N154" s="70" t="s">
        <v>57</v>
      </c>
      <c r="O154" s="70" t="s">
        <v>435</v>
      </c>
      <c r="P154" s="70" t="s">
        <v>59</v>
      </c>
      <c r="Q154" s="70" t="s">
        <v>37</v>
      </c>
      <c r="R154" s="70" t="s">
        <v>38</v>
      </c>
      <c r="S154" s="97">
        <v>300</v>
      </c>
      <c r="T154" s="70" t="s">
        <v>52</v>
      </c>
      <c r="V154" s="70">
        <v>1</v>
      </c>
      <c r="W154" s="70" t="s">
        <v>53</v>
      </c>
      <c r="Y154" s="70" t="s">
        <v>44</v>
      </c>
      <c r="AA154" s="70" t="s">
        <v>44</v>
      </c>
      <c r="AB154" s="70" t="s">
        <v>47</v>
      </c>
      <c r="AD154" s="291"/>
      <c r="AF154" s="71"/>
    </row>
    <row r="155" spans="1:32" s="70" customFormat="1">
      <c r="A155" s="70" t="s">
        <v>410</v>
      </c>
      <c r="B155" s="68">
        <v>45035</v>
      </c>
      <c r="C155" s="68">
        <v>45544</v>
      </c>
      <c r="D155" s="68">
        <v>45599</v>
      </c>
      <c r="E155" s="166">
        <v>45710</v>
      </c>
      <c r="F155" s="68">
        <v>45572</v>
      </c>
      <c r="H155" s="70">
        <v>250</v>
      </c>
      <c r="I155" s="70">
        <v>250</v>
      </c>
      <c r="J155" s="69">
        <f t="shared" si="17"/>
        <v>1</v>
      </c>
      <c r="L155" s="69">
        <f t="shared" si="18"/>
        <v>0</v>
      </c>
      <c r="N155" s="70" t="s">
        <v>57</v>
      </c>
      <c r="O155" s="70" t="s">
        <v>435</v>
      </c>
      <c r="P155" s="70" t="s">
        <v>62</v>
      </c>
      <c r="Q155" s="70" t="s">
        <v>37</v>
      </c>
      <c r="R155" s="70" t="s">
        <v>38</v>
      </c>
      <c r="S155" s="97">
        <v>300</v>
      </c>
      <c r="T155" s="70" t="s">
        <v>52</v>
      </c>
      <c r="V155" s="70">
        <v>1</v>
      </c>
      <c r="W155" s="70" t="s">
        <v>53</v>
      </c>
      <c r="Y155" s="70" t="s">
        <v>44</v>
      </c>
      <c r="AA155" s="70" t="s">
        <v>44</v>
      </c>
      <c r="AB155" s="70" t="s">
        <v>47</v>
      </c>
      <c r="AD155" s="291"/>
      <c r="AF155" s="71"/>
    </row>
    <row r="156" spans="1:32" s="70" customFormat="1">
      <c r="A156" s="70" t="s">
        <v>410</v>
      </c>
      <c r="B156" s="68">
        <v>45035</v>
      </c>
      <c r="C156" s="68">
        <v>45544</v>
      </c>
      <c r="D156" s="68">
        <v>45599</v>
      </c>
      <c r="E156" s="166">
        <v>45710</v>
      </c>
      <c r="F156" s="68">
        <v>45572</v>
      </c>
      <c r="H156" s="70">
        <v>250</v>
      </c>
      <c r="I156" s="70">
        <v>250</v>
      </c>
      <c r="J156" s="69">
        <f t="shared" si="17"/>
        <v>1</v>
      </c>
      <c r="L156" s="69">
        <f t="shared" si="18"/>
        <v>0</v>
      </c>
      <c r="N156" s="70" t="s">
        <v>57</v>
      </c>
      <c r="O156" s="70" t="s">
        <v>435</v>
      </c>
      <c r="P156" s="128" t="s">
        <v>63</v>
      </c>
      <c r="Q156" s="70" t="s">
        <v>37</v>
      </c>
      <c r="R156" s="70" t="s">
        <v>38</v>
      </c>
      <c r="S156" s="97">
        <v>300</v>
      </c>
      <c r="T156" s="70" t="s">
        <v>52</v>
      </c>
      <c r="V156" s="70">
        <v>1</v>
      </c>
      <c r="W156" s="70" t="s">
        <v>53</v>
      </c>
      <c r="Y156" s="70" t="s">
        <v>44</v>
      </c>
      <c r="AA156" s="70" t="s">
        <v>44</v>
      </c>
      <c r="AB156" s="70" t="s">
        <v>47</v>
      </c>
      <c r="AD156" s="291"/>
      <c r="AF156" s="71"/>
    </row>
    <row r="157" spans="1:32" s="70" customFormat="1">
      <c r="A157" s="70" t="s">
        <v>410</v>
      </c>
      <c r="B157" s="68">
        <v>45035</v>
      </c>
      <c r="C157" s="68">
        <v>45544</v>
      </c>
      <c r="D157" s="68">
        <v>45599</v>
      </c>
      <c r="E157" s="166">
        <v>45710</v>
      </c>
      <c r="F157" s="68">
        <v>45572</v>
      </c>
      <c r="H157" s="70">
        <v>250</v>
      </c>
      <c r="I157" s="70">
        <v>250</v>
      </c>
      <c r="J157" s="69">
        <f t="shared" si="17"/>
        <v>1</v>
      </c>
      <c r="L157" s="69">
        <f t="shared" si="18"/>
        <v>0</v>
      </c>
      <c r="N157" s="70" t="s">
        <v>57</v>
      </c>
      <c r="O157" s="70" t="s">
        <v>435</v>
      </c>
      <c r="P157" s="70" t="s">
        <v>69</v>
      </c>
      <c r="Q157" s="70" t="s">
        <v>37</v>
      </c>
      <c r="R157" s="70" t="s">
        <v>38</v>
      </c>
      <c r="S157" s="97">
        <v>300</v>
      </c>
      <c r="T157" s="70" t="s">
        <v>52</v>
      </c>
      <c r="V157" s="70">
        <v>1</v>
      </c>
      <c r="W157" s="70" t="s">
        <v>53</v>
      </c>
      <c r="Y157" s="70" t="s">
        <v>44</v>
      </c>
      <c r="AA157" s="70" t="s">
        <v>44</v>
      </c>
      <c r="AB157" s="70" t="s">
        <v>47</v>
      </c>
      <c r="AD157" s="291"/>
      <c r="AF157" s="71"/>
    </row>
    <row r="158" spans="1:32" s="70" customFormat="1">
      <c r="A158" s="70" t="s">
        <v>410</v>
      </c>
      <c r="B158" s="68">
        <v>45035</v>
      </c>
      <c r="C158" s="68">
        <v>45544</v>
      </c>
      <c r="D158" s="68">
        <v>45599</v>
      </c>
      <c r="E158" s="166">
        <v>45710</v>
      </c>
      <c r="F158" s="68">
        <v>45572</v>
      </c>
      <c r="H158" s="70">
        <v>250</v>
      </c>
      <c r="I158" s="70">
        <v>250</v>
      </c>
      <c r="J158" s="69">
        <f t="shared" ref="J158:J159" si="19">+I158/H158</f>
        <v>1</v>
      </c>
      <c r="L158" s="69">
        <f t="shared" ref="L158" si="20">K158/H158</f>
        <v>0</v>
      </c>
      <c r="N158" s="70" t="s">
        <v>57</v>
      </c>
      <c r="O158" s="70" t="s">
        <v>435</v>
      </c>
      <c r="P158" s="70" t="s">
        <v>419</v>
      </c>
      <c r="Q158" s="70" t="s">
        <v>37</v>
      </c>
      <c r="R158" s="70" t="s">
        <v>38</v>
      </c>
      <c r="S158" s="97">
        <v>300</v>
      </c>
      <c r="T158" s="70" t="s">
        <v>52</v>
      </c>
      <c r="V158" s="70">
        <v>1</v>
      </c>
      <c r="W158" s="70" t="s">
        <v>53</v>
      </c>
      <c r="Y158" s="70" t="s">
        <v>44</v>
      </c>
      <c r="AA158" s="70" t="s">
        <v>44</v>
      </c>
      <c r="AB158" s="70" t="s">
        <v>47</v>
      </c>
      <c r="AD158" s="291"/>
      <c r="AF158" s="71"/>
    </row>
    <row r="159" spans="1:32" s="70" customFormat="1">
      <c r="A159" s="70" t="s">
        <v>436</v>
      </c>
      <c r="B159" s="68">
        <v>45407</v>
      </c>
      <c r="C159" s="68">
        <v>45419</v>
      </c>
      <c r="D159" s="68">
        <v>45425</v>
      </c>
      <c r="E159" s="68">
        <v>45430</v>
      </c>
      <c r="F159" s="68"/>
      <c r="H159" s="70">
        <v>100000</v>
      </c>
      <c r="I159" s="70">
        <v>100</v>
      </c>
      <c r="J159" s="69">
        <f t="shared" si="19"/>
        <v>1E-3</v>
      </c>
      <c r="M159" s="70" t="s">
        <v>33</v>
      </c>
      <c r="N159" s="70" t="s">
        <v>93</v>
      </c>
      <c r="O159" s="70" t="s">
        <v>94</v>
      </c>
      <c r="P159" s="70" t="s">
        <v>437</v>
      </c>
      <c r="Q159" s="70" t="s">
        <v>37</v>
      </c>
      <c r="R159" s="70" t="s">
        <v>88</v>
      </c>
      <c r="S159" s="70">
        <v>1</v>
      </c>
      <c r="T159" s="70">
        <v>100</v>
      </c>
      <c r="U159" s="70" t="s">
        <v>133</v>
      </c>
      <c r="V159" s="70">
        <v>1</v>
      </c>
      <c r="W159" s="70" t="s">
        <v>53</v>
      </c>
      <c r="Y159" s="70" t="s">
        <v>44</v>
      </c>
      <c r="Z159" s="70" t="s">
        <v>162</v>
      </c>
      <c r="AA159" s="70" t="s">
        <v>44</v>
      </c>
      <c r="AB159" s="70" t="s">
        <v>47</v>
      </c>
      <c r="AC159" s="70" t="s">
        <v>438</v>
      </c>
      <c r="AD159" s="291" t="s">
        <v>439</v>
      </c>
      <c r="AF159" s="71" t="s">
        <v>47</v>
      </c>
    </row>
    <row r="160" spans="1:32" s="70" customFormat="1">
      <c r="A160" s="70" t="s">
        <v>440</v>
      </c>
      <c r="B160" s="68">
        <v>45408</v>
      </c>
      <c r="C160" s="68">
        <v>45412</v>
      </c>
      <c r="D160" s="68">
        <v>45419</v>
      </c>
      <c r="E160" s="68">
        <v>45430</v>
      </c>
      <c r="F160" s="68">
        <v>45418</v>
      </c>
      <c r="I160" s="70">
        <v>6000</v>
      </c>
      <c r="K160" s="70">
        <v>3109</v>
      </c>
      <c r="N160" s="70" t="s">
        <v>261</v>
      </c>
      <c r="O160" s="70" t="s">
        <v>262</v>
      </c>
      <c r="P160" s="70" t="s">
        <v>441</v>
      </c>
      <c r="Q160" s="70" t="s">
        <v>37</v>
      </c>
      <c r="R160" s="70" t="s">
        <v>88</v>
      </c>
      <c r="U160" s="70" t="s">
        <v>442</v>
      </c>
      <c r="V160" s="70">
        <v>1</v>
      </c>
      <c r="W160" s="70" t="s">
        <v>53</v>
      </c>
      <c r="Y160" s="70" t="s">
        <v>44</v>
      </c>
      <c r="Z160" s="70" t="s">
        <v>162</v>
      </c>
      <c r="AA160" s="70" t="s">
        <v>44</v>
      </c>
      <c r="AB160" s="70" t="s">
        <v>47</v>
      </c>
      <c r="AC160" s="70" t="s">
        <v>443</v>
      </c>
      <c r="AD160" s="291" t="s">
        <v>444</v>
      </c>
      <c r="AF160" s="71" t="s">
        <v>47</v>
      </c>
    </row>
    <row r="161" spans="1:32" s="70" customFormat="1">
      <c r="A161" s="70" t="s">
        <v>436</v>
      </c>
      <c r="B161" s="68">
        <v>45411</v>
      </c>
      <c r="C161" s="68">
        <v>45422</v>
      </c>
      <c r="D161" s="68">
        <v>45425</v>
      </c>
      <c r="E161" s="68">
        <v>45432</v>
      </c>
      <c r="F161" s="68"/>
      <c r="H161" s="146">
        <v>100000</v>
      </c>
      <c r="I161" s="70">
        <v>100</v>
      </c>
      <c r="J161" s="69">
        <f t="shared" ref="J161" si="21">+I161/H161</f>
        <v>1E-3</v>
      </c>
      <c r="M161" s="70" t="s">
        <v>33</v>
      </c>
      <c r="N161" s="70" t="s">
        <v>93</v>
      </c>
      <c r="O161" s="70" t="s">
        <v>94</v>
      </c>
      <c r="P161" s="70" t="s">
        <v>445</v>
      </c>
      <c r="Q161" s="70" t="s">
        <v>37</v>
      </c>
      <c r="R161" s="70" t="s">
        <v>88</v>
      </c>
      <c r="S161" s="70">
        <v>1</v>
      </c>
      <c r="T161" s="70">
        <v>100</v>
      </c>
      <c r="U161" s="70" t="s">
        <v>150</v>
      </c>
      <c r="V161" s="70">
        <v>1</v>
      </c>
      <c r="W161" s="70" t="s">
        <v>53</v>
      </c>
      <c r="Y161" s="70" t="s">
        <v>44</v>
      </c>
      <c r="Z161" s="70" t="s">
        <v>162</v>
      </c>
      <c r="AA161" s="70" t="s">
        <v>44</v>
      </c>
      <c r="AB161" s="70" t="s">
        <v>47</v>
      </c>
      <c r="AC161" s="70" t="s">
        <v>446</v>
      </c>
      <c r="AD161" s="291" t="s">
        <v>447</v>
      </c>
      <c r="AF161" s="71" t="s">
        <v>47</v>
      </c>
    </row>
    <row r="162" spans="1:32" s="70" customFormat="1">
      <c r="A162" s="70" t="s">
        <v>436</v>
      </c>
      <c r="B162" s="68">
        <v>45414</v>
      </c>
      <c r="C162" s="68">
        <v>45420</v>
      </c>
      <c r="D162" s="68">
        <v>45420</v>
      </c>
      <c r="E162" s="68">
        <v>45432</v>
      </c>
      <c r="F162" s="68">
        <v>45420</v>
      </c>
      <c r="H162" s="70">
        <v>100000</v>
      </c>
      <c r="I162" s="70">
        <v>100</v>
      </c>
      <c r="J162" s="69">
        <f t="shared" ref="J162" si="22">+I162/H162</f>
        <v>1E-3</v>
      </c>
      <c r="M162" s="70" t="s">
        <v>33</v>
      </c>
      <c r="N162" s="70" t="s">
        <v>93</v>
      </c>
      <c r="O162" s="70" t="s">
        <v>94</v>
      </c>
      <c r="P162" s="70" t="s">
        <v>448</v>
      </c>
      <c r="Q162" s="70" t="s">
        <v>37</v>
      </c>
      <c r="R162" s="70" t="s">
        <v>88</v>
      </c>
      <c r="S162" s="70">
        <v>1</v>
      </c>
      <c r="T162" s="70">
        <v>100</v>
      </c>
      <c r="U162" s="70" t="s">
        <v>449</v>
      </c>
      <c r="V162" s="70">
        <v>1</v>
      </c>
      <c r="W162" s="70" t="s">
        <v>53</v>
      </c>
      <c r="Y162" s="70" t="s">
        <v>44</v>
      </c>
      <c r="Z162" s="70" t="s">
        <v>162</v>
      </c>
      <c r="AA162" s="70" t="s">
        <v>44</v>
      </c>
      <c r="AB162" s="70" t="s">
        <v>47</v>
      </c>
      <c r="AC162" s="70" t="s">
        <v>450</v>
      </c>
      <c r="AD162" s="291" t="s">
        <v>451</v>
      </c>
      <c r="AF162" s="71" t="s">
        <v>47</v>
      </c>
    </row>
    <row r="163" spans="1:32" s="70" customFormat="1">
      <c r="A163" s="70" t="s">
        <v>440</v>
      </c>
      <c r="B163" s="68">
        <v>45420</v>
      </c>
      <c r="C163" s="68">
        <v>45427</v>
      </c>
      <c r="D163" s="68">
        <v>45433</v>
      </c>
      <c r="E163" s="68">
        <v>45434</v>
      </c>
      <c r="F163" s="68">
        <v>45427</v>
      </c>
      <c r="H163" s="70" t="s">
        <v>139</v>
      </c>
      <c r="I163" s="70" t="s">
        <v>139</v>
      </c>
      <c r="M163" s="70" t="s">
        <v>72</v>
      </c>
      <c r="N163" s="70" t="s">
        <v>140</v>
      </c>
      <c r="O163" s="70" t="s">
        <v>35</v>
      </c>
      <c r="P163" s="70" t="s">
        <v>452</v>
      </c>
      <c r="Q163" s="70" t="s">
        <v>76</v>
      </c>
      <c r="R163" s="70" t="s">
        <v>88</v>
      </c>
      <c r="U163" s="70" t="s">
        <v>453</v>
      </c>
      <c r="V163" s="70" t="s">
        <v>271</v>
      </c>
      <c r="W163" s="70" t="s">
        <v>53</v>
      </c>
      <c r="X163" s="70" t="s">
        <v>44</v>
      </c>
      <c r="Y163" s="70" t="s">
        <v>44</v>
      </c>
      <c r="Z163" s="70" t="s">
        <v>454</v>
      </c>
      <c r="AA163" s="70" t="s">
        <v>44</v>
      </c>
      <c r="AB163" s="70" t="s">
        <v>47</v>
      </c>
      <c r="AC163" s="70" t="s">
        <v>455</v>
      </c>
      <c r="AD163" s="291" t="s">
        <v>456</v>
      </c>
      <c r="AF163" s="71" t="s">
        <v>47</v>
      </c>
    </row>
    <row r="164" spans="1:32" s="70" customFormat="1">
      <c r="A164" s="70" t="s">
        <v>440</v>
      </c>
      <c r="B164" s="68">
        <v>45422</v>
      </c>
      <c r="C164" s="68">
        <v>45422</v>
      </c>
      <c r="D164" s="68">
        <v>45429</v>
      </c>
      <c r="E164" s="68">
        <v>45430</v>
      </c>
      <c r="F164" s="68">
        <v>45426</v>
      </c>
      <c r="I164" s="70">
        <v>300</v>
      </c>
      <c r="M164" s="70" t="s">
        <v>72</v>
      </c>
      <c r="N164" s="70" t="s">
        <v>268</v>
      </c>
      <c r="O164" s="70" t="s">
        <v>457</v>
      </c>
      <c r="P164" s="70" t="s">
        <v>458</v>
      </c>
      <c r="Q164" s="70" t="s">
        <v>37</v>
      </c>
      <c r="R164" s="70" t="s">
        <v>88</v>
      </c>
      <c r="U164" s="70" t="s">
        <v>459</v>
      </c>
      <c r="V164" s="70" t="s">
        <v>271</v>
      </c>
      <c r="W164" s="70" t="s">
        <v>53</v>
      </c>
      <c r="X164" s="70" t="s">
        <v>44</v>
      </c>
      <c r="Y164" s="70" t="s">
        <v>47</v>
      </c>
      <c r="Z164" s="70" t="s">
        <v>162</v>
      </c>
      <c r="AA164" s="70" t="s">
        <v>44</v>
      </c>
      <c r="AB164" s="70" t="s">
        <v>47</v>
      </c>
      <c r="AC164" s="70" t="s">
        <v>460</v>
      </c>
      <c r="AD164" s="291" t="s">
        <v>461</v>
      </c>
      <c r="AF164" s="71" t="s">
        <v>47</v>
      </c>
    </row>
    <row r="165" spans="1:32" s="70" customFormat="1">
      <c r="A165" s="70" t="s">
        <v>440</v>
      </c>
      <c r="B165" s="68">
        <v>45422</v>
      </c>
      <c r="C165" s="68">
        <v>45427</v>
      </c>
      <c r="D165" s="68">
        <v>45435</v>
      </c>
      <c r="E165" s="68">
        <v>45439</v>
      </c>
      <c r="F165" s="68">
        <v>45427</v>
      </c>
      <c r="I165" s="70">
        <v>11500</v>
      </c>
      <c r="M165" s="70" t="s">
        <v>33</v>
      </c>
      <c r="N165" s="70" t="s">
        <v>136</v>
      </c>
      <c r="O165" s="70" t="s">
        <v>74</v>
      </c>
      <c r="P165" s="70" t="s">
        <v>462</v>
      </c>
      <c r="Q165" s="70" t="s">
        <v>76</v>
      </c>
      <c r="R165" s="70" t="s">
        <v>88</v>
      </c>
      <c r="U165" s="70" t="s">
        <v>463</v>
      </c>
      <c r="V165" s="70" t="s">
        <v>271</v>
      </c>
      <c r="W165" s="70" t="s">
        <v>53</v>
      </c>
      <c r="X165" s="70" t="s">
        <v>44</v>
      </c>
      <c r="Y165" s="70" t="s">
        <v>44</v>
      </c>
      <c r="Z165" s="70" t="s">
        <v>162</v>
      </c>
      <c r="AA165" s="70" t="s">
        <v>44</v>
      </c>
      <c r="AB165" s="70" t="s">
        <v>47</v>
      </c>
      <c r="AC165" s="70" t="s">
        <v>464</v>
      </c>
      <c r="AD165" s="291" t="s">
        <v>465</v>
      </c>
      <c r="AF165" s="71" t="s">
        <v>47</v>
      </c>
    </row>
    <row r="166" spans="1:32" s="85" customFormat="1" ht="15">
      <c r="A166" s="85" t="s">
        <v>466</v>
      </c>
      <c r="B166" s="90">
        <v>45428</v>
      </c>
      <c r="C166" s="90">
        <v>45435</v>
      </c>
      <c r="D166" s="90">
        <v>45453</v>
      </c>
      <c r="E166" s="90">
        <v>45453</v>
      </c>
      <c r="F166" s="90">
        <v>45435</v>
      </c>
      <c r="M166" s="85" t="s">
        <v>72</v>
      </c>
      <c r="N166" s="85" t="s">
        <v>140</v>
      </c>
      <c r="O166" s="85" t="s">
        <v>35</v>
      </c>
      <c r="P166" s="85" t="s">
        <v>467</v>
      </c>
      <c r="Q166" s="85" t="s">
        <v>76</v>
      </c>
      <c r="R166" s="85" t="s">
        <v>88</v>
      </c>
      <c r="U166" s="85" t="s">
        <v>468</v>
      </c>
      <c r="V166" s="85" t="s">
        <v>271</v>
      </c>
      <c r="W166" s="85" t="s">
        <v>53</v>
      </c>
      <c r="Y166" s="85" t="s">
        <v>44</v>
      </c>
      <c r="Z166" s="85" t="s">
        <v>469</v>
      </c>
      <c r="AA166" s="85" t="s">
        <v>44</v>
      </c>
      <c r="AB166" s="85" t="s">
        <v>47</v>
      </c>
      <c r="AC166" s="85" t="s">
        <v>470</v>
      </c>
      <c r="AD166" s="302" t="s">
        <v>471</v>
      </c>
    </row>
    <row r="167" spans="1:32" s="70" customFormat="1">
      <c r="A167" s="70" t="s">
        <v>472</v>
      </c>
      <c r="B167" s="68">
        <v>45428</v>
      </c>
      <c r="C167" s="68">
        <v>45435</v>
      </c>
      <c r="D167" s="68">
        <v>45440</v>
      </c>
      <c r="E167" s="68">
        <v>45453</v>
      </c>
      <c r="F167" s="68">
        <v>45436</v>
      </c>
      <c r="I167" s="70">
        <v>5000</v>
      </c>
      <c r="K167" s="70">
        <v>4559</v>
      </c>
      <c r="N167" s="70" t="s">
        <v>473</v>
      </c>
      <c r="O167" s="70" t="s">
        <v>262</v>
      </c>
      <c r="P167" s="70" t="s">
        <v>474</v>
      </c>
      <c r="Q167" s="70" t="s">
        <v>37</v>
      </c>
      <c r="R167" s="70" t="s">
        <v>88</v>
      </c>
      <c r="U167" s="70" t="s">
        <v>475</v>
      </c>
      <c r="V167" s="70">
        <v>1</v>
      </c>
      <c r="W167" s="70" t="s">
        <v>53</v>
      </c>
      <c r="Y167" s="70" t="s">
        <v>44</v>
      </c>
      <c r="Z167" s="70" t="s">
        <v>162</v>
      </c>
      <c r="AA167" s="70" t="s">
        <v>44</v>
      </c>
      <c r="AB167" s="70" t="s">
        <v>47</v>
      </c>
      <c r="AC167" s="70" t="s">
        <v>476</v>
      </c>
      <c r="AD167" s="291" t="s">
        <v>477</v>
      </c>
      <c r="AF167" s="71" t="s">
        <v>47</v>
      </c>
    </row>
    <row r="168" spans="1:32" s="107" customFormat="1">
      <c r="A168" s="107" t="s">
        <v>478</v>
      </c>
      <c r="B168" s="106">
        <v>45433</v>
      </c>
      <c r="C168" s="106">
        <v>45434</v>
      </c>
      <c r="D168" s="106">
        <v>45439</v>
      </c>
      <c r="E168" s="106">
        <v>45439</v>
      </c>
      <c r="F168" s="106">
        <v>45434</v>
      </c>
      <c r="M168" s="107" t="s">
        <v>72</v>
      </c>
      <c r="N168" s="107" t="s">
        <v>268</v>
      </c>
      <c r="O168" s="107" t="s">
        <v>74</v>
      </c>
      <c r="P168" s="107" t="s">
        <v>479</v>
      </c>
      <c r="Q168" s="107" t="s">
        <v>37</v>
      </c>
      <c r="R168" s="107" t="s">
        <v>38</v>
      </c>
      <c r="S168" s="107">
        <v>300000</v>
      </c>
      <c r="T168" s="107" t="s">
        <v>52</v>
      </c>
      <c r="W168" s="107" t="s">
        <v>53</v>
      </c>
      <c r="Y168" s="107" t="s">
        <v>44</v>
      </c>
      <c r="Z168" s="107" t="s">
        <v>162</v>
      </c>
      <c r="AA168" s="107" t="s">
        <v>44</v>
      </c>
      <c r="AB168" s="107" t="s">
        <v>47</v>
      </c>
      <c r="AC168" s="107" t="s">
        <v>480</v>
      </c>
      <c r="AD168" s="297" t="s">
        <v>481</v>
      </c>
      <c r="AF168" s="130" t="s">
        <v>47</v>
      </c>
    </row>
    <row r="169" spans="1:32" s="70" customFormat="1" ht="43.5">
      <c r="A169" s="70" t="s">
        <v>482</v>
      </c>
      <c r="B169" s="68">
        <v>45436</v>
      </c>
      <c r="C169" s="68">
        <v>45436</v>
      </c>
      <c r="D169" s="68">
        <v>45436</v>
      </c>
      <c r="E169" s="68">
        <v>46022</v>
      </c>
      <c r="F169" s="68">
        <v>45310</v>
      </c>
      <c r="H169" s="97">
        <v>400000</v>
      </c>
      <c r="I169" s="97">
        <v>50000</v>
      </c>
      <c r="J169" s="69">
        <f>+I169/H169</f>
        <v>0.125</v>
      </c>
      <c r="L169" s="69">
        <f>K169/H169</f>
        <v>0</v>
      </c>
      <c r="N169" s="70" t="s">
        <v>136</v>
      </c>
      <c r="O169" s="70" t="s">
        <v>74</v>
      </c>
      <c r="P169" s="96" t="s">
        <v>483</v>
      </c>
      <c r="Q169" s="70" t="s">
        <v>37</v>
      </c>
      <c r="R169" s="70" t="s">
        <v>38</v>
      </c>
      <c r="S169" s="97">
        <v>800000</v>
      </c>
      <c r="T169" s="70" t="s">
        <v>77</v>
      </c>
      <c r="W169" s="70" t="s">
        <v>53</v>
      </c>
      <c r="X169" s="70" t="s">
        <v>44</v>
      </c>
      <c r="Y169" s="70" t="s">
        <v>47</v>
      </c>
      <c r="Z169" s="70" t="s">
        <v>54</v>
      </c>
      <c r="AA169" s="70" t="s">
        <v>44</v>
      </c>
      <c r="AB169" s="70" t="s">
        <v>44</v>
      </c>
      <c r="AC169" s="70" t="s">
        <v>484</v>
      </c>
      <c r="AD169" s="291"/>
      <c r="AE169" s="96" t="s">
        <v>485</v>
      </c>
      <c r="AF169" s="71" t="s">
        <v>47</v>
      </c>
    </row>
    <row r="170" spans="1:32" s="70" customFormat="1" ht="72.599999999999994">
      <c r="A170" s="70" t="s">
        <v>482</v>
      </c>
      <c r="B170" s="68">
        <v>45436</v>
      </c>
      <c r="C170" s="68">
        <v>45436</v>
      </c>
      <c r="D170" s="68">
        <v>45436</v>
      </c>
      <c r="E170" s="68">
        <v>46022</v>
      </c>
      <c r="F170" s="68">
        <v>45310</v>
      </c>
      <c r="H170" s="97">
        <v>400000</v>
      </c>
      <c r="I170" s="97">
        <v>50000</v>
      </c>
      <c r="J170" s="69">
        <f>+I170/H170</f>
        <v>0.125</v>
      </c>
      <c r="L170" s="69">
        <f>K170/H170</f>
        <v>0</v>
      </c>
      <c r="N170" s="70" t="s">
        <v>136</v>
      </c>
      <c r="O170" s="70" t="s">
        <v>74</v>
      </c>
      <c r="P170" s="96" t="s">
        <v>486</v>
      </c>
      <c r="Q170" s="70" t="s">
        <v>37</v>
      </c>
      <c r="R170" s="70" t="s">
        <v>38</v>
      </c>
      <c r="S170" s="97">
        <v>800000</v>
      </c>
      <c r="T170" s="70" t="s">
        <v>77</v>
      </c>
      <c r="W170" s="70" t="s">
        <v>53</v>
      </c>
      <c r="X170" s="70" t="s">
        <v>44</v>
      </c>
      <c r="Y170" s="70" t="s">
        <v>44</v>
      </c>
      <c r="Z170" s="70" t="s">
        <v>487</v>
      </c>
      <c r="AA170" s="70" t="s">
        <v>44</v>
      </c>
      <c r="AB170" s="70" t="s">
        <v>47</v>
      </c>
      <c r="AC170" s="70" t="s">
        <v>484</v>
      </c>
      <c r="AD170" s="291"/>
      <c r="AE170" s="96" t="s">
        <v>488</v>
      </c>
      <c r="AF170" s="71" t="s">
        <v>47</v>
      </c>
    </row>
    <row r="171" spans="1:32" s="70" customFormat="1">
      <c r="A171" s="70" t="s">
        <v>489</v>
      </c>
      <c r="B171" s="68">
        <v>45442</v>
      </c>
      <c r="C171" s="68">
        <v>45443</v>
      </c>
      <c r="D171" s="68">
        <v>45451</v>
      </c>
      <c r="E171" s="68">
        <v>45452</v>
      </c>
      <c r="F171" s="68">
        <v>45448</v>
      </c>
      <c r="I171" s="70">
        <v>2000</v>
      </c>
      <c r="M171" s="70" t="s">
        <v>72</v>
      </c>
      <c r="N171" s="70" t="s">
        <v>140</v>
      </c>
      <c r="O171" s="70" t="s">
        <v>35</v>
      </c>
      <c r="P171" s="66" t="s">
        <v>490</v>
      </c>
      <c r="Q171" s="70" t="s">
        <v>37</v>
      </c>
      <c r="R171" s="70" t="s">
        <v>88</v>
      </c>
      <c r="U171" s="66" t="s">
        <v>491</v>
      </c>
      <c r="V171" s="70" t="s">
        <v>271</v>
      </c>
      <c r="W171" s="70" t="s">
        <v>53</v>
      </c>
      <c r="X171" s="70" t="s">
        <v>44</v>
      </c>
      <c r="Y171" s="70" t="s">
        <v>44</v>
      </c>
      <c r="Z171" s="70" t="s">
        <v>492</v>
      </c>
      <c r="AA171" s="70" t="s">
        <v>44</v>
      </c>
      <c r="AB171" s="70" t="s">
        <v>47</v>
      </c>
      <c r="AC171" s="70" t="s">
        <v>493</v>
      </c>
      <c r="AD171" s="291" t="s">
        <v>494</v>
      </c>
      <c r="AF171" s="71" t="s">
        <v>47</v>
      </c>
    </row>
    <row r="172" spans="1:32" s="70" customFormat="1" ht="15">
      <c r="A172" s="70" t="s">
        <v>495</v>
      </c>
      <c r="B172" s="68">
        <v>45442</v>
      </c>
      <c r="C172" s="68">
        <v>45447</v>
      </c>
      <c r="D172" s="68">
        <v>45485</v>
      </c>
      <c r="E172" s="68">
        <v>45570</v>
      </c>
      <c r="F172" s="68">
        <v>45457</v>
      </c>
      <c r="H172" s="97">
        <v>20000</v>
      </c>
      <c r="I172" s="70">
        <v>50</v>
      </c>
      <c r="J172" s="69">
        <f>+I172/H172</f>
        <v>2.5000000000000001E-3</v>
      </c>
      <c r="M172" s="70" t="s">
        <v>72</v>
      </c>
      <c r="N172" s="70" t="s">
        <v>261</v>
      </c>
      <c r="O172" s="70" t="s">
        <v>496</v>
      </c>
      <c r="P172" s="70" t="s">
        <v>497</v>
      </c>
      <c r="Q172" s="70" t="s">
        <v>37</v>
      </c>
      <c r="R172" s="70" t="s">
        <v>38</v>
      </c>
      <c r="S172" s="70">
        <v>20000</v>
      </c>
      <c r="T172" s="70" t="s">
        <v>77</v>
      </c>
      <c r="Z172" s="70" t="s">
        <v>162</v>
      </c>
      <c r="AA172" s="70" t="s">
        <v>44</v>
      </c>
      <c r="AB172" s="70" t="s">
        <v>47</v>
      </c>
      <c r="AC172" s="70" t="s">
        <v>498</v>
      </c>
      <c r="AD172" s="296" t="s">
        <v>499</v>
      </c>
      <c r="AF172" s="71" t="s">
        <v>47</v>
      </c>
    </row>
    <row r="173" spans="1:32" s="70" customFormat="1" ht="15">
      <c r="A173" s="70" t="s">
        <v>495</v>
      </c>
      <c r="B173" s="68">
        <v>45442</v>
      </c>
      <c r="C173" s="68">
        <v>45447</v>
      </c>
      <c r="D173" s="68">
        <v>45485</v>
      </c>
      <c r="E173" s="68">
        <v>45570</v>
      </c>
      <c r="F173" s="68">
        <v>45457</v>
      </c>
      <c r="H173" s="97">
        <v>35000</v>
      </c>
      <c r="I173" s="70">
        <v>120</v>
      </c>
      <c r="J173" s="69">
        <f t="shared" ref="J173:J174" si="23">+I173/H173</f>
        <v>3.4285714285714284E-3</v>
      </c>
      <c r="M173" s="70" t="s">
        <v>72</v>
      </c>
      <c r="N173" s="70" t="s">
        <v>261</v>
      </c>
      <c r="O173" s="70" t="s">
        <v>496</v>
      </c>
      <c r="P173" s="70" t="s">
        <v>500</v>
      </c>
      <c r="Q173" s="70" t="s">
        <v>37</v>
      </c>
      <c r="R173" s="70" t="s">
        <v>38</v>
      </c>
      <c r="S173" s="70">
        <v>35000</v>
      </c>
      <c r="T173" s="70" t="s">
        <v>77</v>
      </c>
      <c r="Z173" s="70" t="s">
        <v>162</v>
      </c>
      <c r="AA173" s="70" t="s">
        <v>44</v>
      </c>
      <c r="AB173" s="70" t="s">
        <v>47</v>
      </c>
      <c r="AC173" s="70" t="s">
        <v>501</v>
      </c>
      <c r="AD173" s="296" t="s">
        <v>502</v>
      </c>
      <c r="AF173" s="71" t="s">
        <v>47</v>
      </c>
    </row>
    <row r="174" spans="1:32" s="70" customFormat="1" ht="15">
      <c r="A174" s="70" t="s">
        <v>495</v>
      </c>
      <c r="B174" s="68">
        <v>45442</v>
      </c>
      <c r="C174" s="68">
        <v>45447</v>
      </c>
      <c r="D174" s="68">
        <v>45485</v>
      </c>
      <c r="E174" s="68">
        <v>45570</v>
      </c>
      <c r="F174" s="68">
        <v>45457</v>
      </c>
      <c r="H174" s="70">
        <v>10000</v>
      </c>
      <c r="I174" s="70">
        <v>40</v>
      </c>
      <c r="J174" s="70">
        <f t="shared" si="23"/>
        <v>4.0000000000000001E-3</v>
      </c>
      <c r="M174" s="70" t="s">
        <v>72</v>
      </c>
      <c r="N174" s="70" t="s">
        <v>261</v>
      </c>
      <c r="O174" s="70" t="s">
        <v>496</v>
      </c>
      <c r="P174" s="70" t="s">
        <v>503</v>
      </c>
      <c r="Q174" s="70" t="s">
        <v>37</v>
      </c>
      <c r="R174" s="70" t="s">
        <v>38</v>
      </c>
      <c r="S174" s="70">
        <v>10000</v>
      </c>
      <c r="T174" s="70" t="s">
        <v>77</v>
      </c>
      <c r="Z174" s="70" t="s">
        <v>162</v>
      </c>
      <c r="AA174" s="70" t="s">
        <v>44</v>
      </c>
      <c r="AB174" s="70" t="s">
        <v>47</v>
      </c>
      <c r="AC174" s="70" t="s">
        <v>504</v>
      </c>
      <c r="AD174" s="296" t="s">
        <v>505</v>
      </c>
      <c r="AF174" s="71" t="s">
        <v>47</v>
      </c>
    </row>
    <row r="175" spans="1:32" s="85" customFormat="1">
      <c r="A175" s="85" t="s">
        <v>506</v>
      </c>
      <c r="B175" s="90">
        <v>45443</v>
      </c>
      <c r="C175" s="90">
        <v>45447</v>
      </c>
      <c r="D175" s="90">
        <v>45458</v>
      </c>
      <c r="E175" s="90">
        <v>45459</v>
      </c>
      <c r="F175" s="90">
        <v>45457</v>
      </c>
      <c r="H175" s="85">
        <v>230000</v>
      </c>
      <c r="I175" s="85">
        <v>1000</v>
      </c>
      <c r="J175" s="131">
        <f>+I175/H175</f>
        <v>4.3478260869565218E-3</v>
      </c>
      <c r="M175" s="85" t="s">
        <v>72</v>
      </c>
      <c r="N175" s="85" t="s">
        <v>136</v>
      </c>
      <c r="O175" s="85" t="s">
        <v>507</v>
      </c>
      <c r="P175" s="132" t="s">
        <v>508</v>
      </c>
      <c r="Q175" s="85" t="s">
        <v>37</v>
      </c>
      <c r="R175" s="85" t="s">
        <v>88</v>
      </c>
      <c r="U175" s="132" t="s">
        <v>509</v>
      </c>
      <c r="V175" s="85" t="s">
        <v>271</v>
      </c>
      <c r="W175" s="85" t="s">
        <v>53</v>
      </c>
      <c r="X175" s="85" t="s">
        <v>44</v>
      </c>
      <c r="Y175" s="85" t="s">
        <v>44</v>
      </c>
      <c r="Z175" s="85" t="s">
        <v>492</v>
      </c>
      <c r="AA175" s="85" t="s">
        <v>44</v>
      </c>
      <c r="AB175" s="85" t="s">
        <v>47</v>
      </c>
      <c r="AD175" s="293"/>
    </row>
    <row r="176" spans="1:32" s="70" customFormat="1">
      <c r="A176" s="70" t="s">
        <v>510</v>
      </c>
      <c r="B176" s="68">
        <v>45450</v>
      </c>
      <c r="C176" s="68">
        <v>45457</v>
      </c>
      <c r="D176" s="68">
        <v>45474</v>
      </c>
      <c r="E176" s="68">
        <v>45480</v>
      </c>
      <c r="F176" s="68">
        <v>45464</v>
      </c>
      <c r="H176" s="70" t="s">
        <v>139</v>
      </c>
      <c r="I176" s="70" t="s">
        <v>139</v>
      </c>
      <c r="M176" s="70" t="s">
        <v>33</v>
      </c>
      <c r="N176" s="70" t="s">
        <v>140</v>
      </c>
      <c r="O176" s="70" t="s">
        <v>35</v>
      </c>
      <c r="P176" s="70" t="s">
        <v>330</v>
      </c>
      <c r="Q176" s="70" t="s">
        <v>76</v>
      </c>
      <c r="R176" s="70" t="s">
        <v>88</v>
      </c>
      <c r="U176" s="70" t="s">
        <v>511</v>
      </c>
      <c r="V176" s="70" t="s">
        <v>271</v>
      </c>
      <c r="W176" s="70" t="s">
        <v>53</v>
      </c>
      <c r="X176" s="70" t="s">
        <v>44</v>
      </c>
      <c r="Y176" s="70" t="s">
        <v>44</v>
      </c>
      <c r="Z176" s="70" t="s">
        <v>454</v>
      </c>
      <c r="AA176" s="70" t="s">
        <v>44</v>
      </c>
      <c r="AB176" s="70" t="s">
        <v>47</v>
      </c>
      <c r="AC176" s="70" t="s">
        <v>512</v>
      </c>
      <c r="AD176" s="291" t="s">
        <v>513</v>
      </c>
      <c r="AF176" s="71" t="s">
        <v>47</v>
      </c>
    </row>
    <row r="177" spans="1:32" s="70" customFormat="1">
      <c r="A177" s="70" t="s">
        <v>514</v>
      </c>
      <c r="B177" s="68">
        <v>45450</v>
      </c>
      <c r="C177" s="68">
        <v>45456</v>
      </c>
      <c r="D177" s="68">
        <v>45461</v>
      </c>
      <c r="E177" s="68">
        <v>45468</v>
      </c>
      <c r="F177" s="68">
        <v>45457</v>
      </c>
      <c r="I177" s="70">
        <v>2500</v>
      </c>
      <c r="K177" s="70">
        <v>536</v>
      </c>
      <c r="N177" s="70" t="s">
        <v>473</v>
      </c>
      <c r="O177" s="70" t="s">
        <v>262</v>
      </c>
      <c r="P177" s="70" t="s">
        <v>515</v>
      </c>
      <c r="Q177" s="70" t="s">
        <v>37</v>
      </c>
      <c r="R177" s="70" t="s">
        <v>88</v>
      </c>
      <c r="U177" s="70" t="s">
        <v>516</v>
      </c>
      <c r="V177" s="70">
        <v>1</v>
      </c>
      <c r="W177" s="70" t="s">
        <v>53</v>
      </c>
      <c r="Y177" s="70" t="s">
        <v>47</v>
      </c>
      <c r="Z177" s="70" t="s">
        <v>162</v>
      </c>
      <c r="AA177" s="70" t="s">
        <v>44</v>
      </c>
      <c r="AB177" s="70" t="s">
        <v>47</v>
      </c>
      <c r="AC177" s="70" t="s">
        <v>517</v>
      </c>
      <c r="AD177" s="291" t="s">
        <v>518</v>
      </c>
      <c r="AF177" s="71" t="s">
        <v>47</v>
      </c>
    </row>
    <row r="178" spans="1:32" s="70" customFormat="1">
      <c r="A178" s="70" t="s">
        <v>510</v>
      </c>
      <c r="B178" s="68">
        <v>45443</v>
      </c>
      <c r="C178" s="68">
        <v>45447</v>
      </c>
      <c r="D178" s="68">
        <v>45458</v>
      </c>
      <c r="E178" s="68">
        <v>45459</v>
      </c>
      <c r="F178" s="68">
        <v>45457</v>
      </c>
      <c r="H178" s="70">
        <v>230000</v>
      </c>
      <c r="I178" s="70">
        <v>1000</v>
      </c>
      <c r="J178" s="69">
        <f>+I178/H178</f>
        <v>4.3478260869565218E-3</v>
      </c>
      <c r="K178" s="146">
        <v>1602</v>
      </c>
      <c r="L178" s="114">
        <f>K178/H178</f>
        <v>6.9652173913043475E-3</v>
      </c>
      <c r="M178" s="70" t="s">
        <v>72</v>
      </c>
      <c r="N178" s="70" t="s">
        <v>136</v>
      </c>
      <c r="O178" s="70" t="s">
        <v>507</v>
      </c>
      <c r="P178" s="66" t="s">
        <v>519</v>
      </c>
      <c r="Q178" s="70" t="s">
        <v>37</v>
      </c>
      <c r="R178" s="70" t="s">
        <v>88</v>
      </c>
      <c r="U178" s="66" t="s">
        <v>520</v>
      </c>
      <c r="V178" s="70" t="s">
        <v>271</v>
      </c>
      <c r="W178" s="70" t="s">
        <v>53</v>
      </c>
      <c r="X178" s="70" t="s">
        <v>44</v>
      </c>
      <c r="Y178" s="70" t="s">
        <v>44</v>
      </c>
      <c r="Z178" s="70" t="s">
        <v>492</v>
      </c>
      <c r="AA178" s="70" t="s">
        <v>44</v>
      </c>
      <c r="AB178" s="70" t="s">
        <v>47</v>
      </c>
      <c r="AC178" s="70" t="s">
        <v>521</v>
      </c>
      <c r="AD178" s="291" t="s">
        <v>522</v>
      </c>
      <c r="AF178" s="71" t="s">
        <v>47</v>
      </c>
    </row>
    <row r="179" spans="1:32" s="70" customFormat="1">
      <c r="A179" s="70" t="s">
        <v>523</v>
      </c>
      <c r="B179" s="68">
        <v>45453</v>
      </c>
      <c r="C179" s="68">
        <v>45460</v>
      </c>
      <c r="D179" s="68">
        <v>45463</v>
      </c>
      <c r="E179" s="68">
        <v>45828</v>
      </c>
      <c r="F179" s="68"/>
      <c r="H179" s="97">
        <v>10000</v>
      </c>
      <c r="I179" s="70">
        <v>40</v>
      </c>
      <c r="J179" s="69">
        <f>+I179/H179</f>
        <v>4.0000000000000001E-3</v>
      </c>
      <c r="M179" s="70" t="s">
        <v>33</v>
      </c>
      <c r="N179" s="70" t="s">
        <v>93</v>
      </c>
      <c r="O179" s="70" t="s">
        <v>94</v>
      </c>
      <c r="P179" s="70" t="s">
        <v>524</v>
      </c>
      <c r="Q179" s="70" t="s">
        <v>37</v>
      </c>
      <c r="R179" s="70" t="s">
        <v>88</v>
      </c>
      <c r="S179" s="70">
        <v>1</v>
      </c>
      <c r="T179" s="70">
        <v>250</v>
      </c>
      <c r="U179" s="70" t="s">
        <v>525</v>
      </c>
      <c r="V179" s="70" t="s">
        <v>271</v>
      </c>
      <c r="W179" s="70" t="s">
        <v>53</v>
      </c>
      <c r="X179" s="70" t="s">
        <v>44</v>
      </c>
      <c r="Y179" s="70" t="s">
        <v>44</v>
      </c>
      <c r="Z179" s="70" t="s">
        <v>526</v>
      </c>
      <c r="AA179" s="70" t="s">
        <v>44</v>
      </c>
      <c r="AB179" s="70" t="s">
        <v>47</v>
      </c>
      <c r="AC179" s="70" t="s">
        <v>527</v>
      </c>
      <c r="AD179" s="291" t="s">
        <v>528</v>
      </c>
      <c r="AF179" s="71" t="s">
        <v>47</v>
      </c>
    </row>
    <row r="180" spans="1:32" s="70" customFormat="1">
      <c r="A180" s="70" t="s">
        <v>529</v>
      </c>
      <c r="B180" s="68">
        <v>45464</v>
      </c>
      <c r="C180" s="68">
        <v>45470</v>
      </c>
      <c r="D180" s="68">
        <v>45482</v>
      </c>
      <c r="E180" s="68">
        <v>45482</v>
      </c>
      <c r="F180" s="68">
        <v>45474</v>
      </c>
      <c r="H180" s="70">
        <v>230000</v>
      </c>
      <c r="I180" s="70">
        <v>1000</v>
      </c>
      <c r="J180" s="69">
        <f>+I180/H180</f>
        <v>4.3478260869565218E-3</v>
      </c>
      <c r="K180" s="146">
        <v>5913</v>
      </c>
      <c r="L180" s="114">
        <f>K180/H180</f>
        <v>2.5708695652173912E-2</v>
      </c>
      <c r="M180" s="70" t="s">
        <v>72</v>
      </c>
      <c r="N180" s="70" t="s">
        <v>136</v>
      </c>
      <c r="O180" s="70" t="s">
        <v>507</v>
      </c>
      <c r="P180" s="66" t="s">
        <v>530</v>
      </c>
      <c r="Q180" s="70" t="s">
        <v>37</v>
      </c>
      <c r="R180" s="70" t="s">
        <v>88</v>
      </c>
      <c r="U180" s="66" t="s">
        <v>531</v>
      </c>
      <c r="V180" s="70" t="s">
        <v>271</v>
      </c>
      <c r="W180" s="70" t="s">
        <v>53</v>
      </c>
      <c r="X180" s="70" t="s">
        <v>44</v>
      </c>
      <c r="Y180" s="70" t="s">
        <v>44</v>
      </c>
      <c r="Z180" s="70" t="s">
        <v>532</v>
      </c>
      <c r="AA180" s="70" t="s">
        <v>44</v>
      </c>
      <c r="AB180" s="70" t="s">
        <v>47</v>
      </c>
      <c r="AC180" s="70" t="s">
        <v>533</v>
      </c>
      <c r="AD180" s="291" t="s">
        <v>534</v>
      </c>
      <c r="AF180" s="71" t="s">
        <v>47</v>
      </c>
    </row>
    <row r="181" spans="1:32" s="70" customFormat="1">
      <c r="A181" s="96" t="s">
        <v>535</v>
      </c>
      <c r="B181" s="68">
        <v>45464</v>
      </c>
      <c r="C181" s="68">
        <v>45482</v>
      </c>
      <c r="D181" s="68">
        <v>45485</v>
      </c>
      <c r="E181" s="68">
        <v>45491</v>
      </c>
      <c r="F181" s="68">
        <v>45484</v>
      </c>
      <c r="I181" s="70">
        <v>500</v>
      </c>
      <c r="K181" s="70">
        <v>490</v>
      </c>
      <c r="M181" s="70" t="s">
        <v>72</v>
      </c>
      <c r="N181" s="70" t="s">
        <v>473</v>
      </c>
      <c r="O181" s="70" t="s">
        <v>262</v>
      </c>
      <c r="P181" s="70" t="s">
        <v>536</v>
      </c>
      <c r="R181" s="70" t="s">
        <v>88</v>
      </c>
      <c r="U181" s="70" t="s">
        <v>537</v>
      </c>
      <c r="V181" s="70">
        <v>1</v>
      </c>
      <c r="W181" s="70" t="s">
        <v>53</v>
      </c>
      <c r="Y181" s="70" t="s">
        <v>44</v>
      </c>
      <c r="Z181" s="70" t="s">
        <v>538</v>
      </c>
      <c r="AA181" s="70" t="s">
        <v>44</v>
      </c>
      <c r="AB181" s="70" t="s">
        <v>47</v>
      </c>
      <c r="AC181" s="70" t="s">
        <v>539</v>
      </c>
      <c r="AD181" s="291" t="s">
        <v>540</v>
      </c>
      <c r="AF181" s="71" t="s">
        <v>47</v>
      </c>
    </row>
    <row r="182" spans="1:32" s="70" customFormat="1">
      <c r="A182" s="135" t="s">
        <v>541</v>
      </c>
      <c r="B182" s="68">
        <v>45468</v>
      </c>
      <c r="C182" s="68">
        <v>45475</v>
      </c>
      <c r="D182" s="68">
        <v>45499</v>
      </c>
      <c r="E182" s="68">
        <v>45502</v>
      </c>
      <c r="F182" s="68">
        <v>45485</v>
      </c>
      <c r="H182" s="70" t="s">
        <v>139</v>
      </c>
      <c r="I182" s="70" t="s">
        <v>139</v>
      </c>
      <c r="M182" s="70" t="s">
        <v>72</v>
      </c>
      <c r="N182" s="70" t="s">
        <v>140</v>
      </c>
      <c r="O182" s="70" t="s">
        <v>35</v>
      </c>
      <c r="P182" s="70" t="s">
        <v>542</v>
      </c>
      <c r="R182" s="70" t="s">
        <v>88</v>
      </c>
      <c r="U182" s="70" t="s">
        <v>543</v>
      </c>
      <c r="V182" s="70" t="s">
        <v>271</v>
      </c>
      <c r="W182" s="70" t="s">
        <v>53</v>
      </c>
      <c r="X182" s="70" t="s">
        <v>44</v>
      </c>
      <c r="Y182" s="70" t="s">
        <v>44</v>
      </c>
      <c r="Z182" s="70" t="s">
        <v>544</v>
      </c>
      <c r="AA182" s="70" t="s">
        <v>44</v>
      </c>
      <c r="AB182" s="70" t="s">
        <v>47</v>
      </c>
      <c r="AC182" s="70" t="s">
        <v>545</v>
      </c>
      <c r="AD182" s="296" t="s">
        <v>546</v>
      </c>
      <c r="AF182" s="71" t="s">
        <v>47</v>
      </c>
    </row>
    <row r="183" spans="1:32" s="70" customFormat="1">
      <c r="A183" s="70" t="s">
        <v>547</v>
      </c>
      <c r="B183" s="68">
        <v>45482</v>
      </c>
      <c r="C183" s="68">
        <v>45492</v>
      </c>
      <c r="D183" s="68">
        <v>45500</v>
      </c>
      <c r="E183" s="68">
        <v>45641</v>
      </c>
      <c r="F183" s="68"/>
      <c r="H183" s="97">
        <v>10000</v>
      </c>
      <c r="I183" s="70">
        <v>40</v>
      </c>
      <c r="J183" s="69">
        <f>+I183/H183</f>
        <v>4.0000000000000001E-3</v>
      </c>
      <c r="M183" s="70" t="s">
        <v>33</v>
      </c>
      <c r="N183" s="70" t="s">
        <v>93</v>
      </c>
      <c r="O183" s="70" t="s">
        <v>94</v>
      </c>
      <c r="P183" s="70" t="s">
        <v>548</v>
      </c>
      <c r="Q183" s="70" t="s">
        <v>37</v>
      </c>
      <c r="R183" s="70" t="s">
        <v>88</v>
      </c>
      <c r="S183" s="70">
        <v>1</v>
      </c>
      <c r="T183" s="70">
        <v>250</v>
      </c>
      <c r="U183" s="70" t="s">
        <v>549</v>
      </c>
      <c r="V183" s="70" t="s">
        <v>271</v>
      </c>
      <c r="W183" s="70" t="s">
        <v>53</v>
      </c>
      <c r="X183" s="70" t="s">
        <v>44</v>
      </c>
      <c r="Y183" s="70" t="s">
        <v>44</v>
      </c>
      <c r="Z183" s="70" t="s">
        <v>526</v>
      </c>
      <c r="AA183" s="70" t="s">
        <v>44</v>
      </c>
      <c r="AB183" s="70" t="s">
        <v>47</v>
      </c>
      <c r="AC183" s="70" t="s">
        <v>550</v>
      </c>
      <c r="AD183" s="291" t="s">
        <v>551</v>
      </c>
      <c r="AF183" s="71" t="s">
        <v>47</v>
      </c>
    </row>
    <row r="184" spans="1:32" s="70" customFormat="1">
      <c r="A184" s="70" t="s">
        <v>552</v>
      </c>
      <c r="B184" s="68">
        <v>45488</v>
      </c>
      <c r="C184" s="68">
        <v>45488</v>
      </c>
      <c r="D184" s="68">
        <v>45490</v>
      </c>
      <c r="E184" s="68">
        <v>45490</v>
      </c>
      <c r="F184" s="68">
        <v>45488</v>
      </c>
      <c r="H184" s="70">
        <v>230000</v>
      </c>
      <c r="I184" s="70">
        <v>1000</v>
      </c>
      <c r="J184" s="69">
        <f>+I184/H184</f>
        <v>4.3478260869565218E-3</v>
      </c>
      <c r="M184" s="70" t="s">
        <v>72</v>
      </c>
      <c r="N184" s="70" t="s">
        <v>385</v>
      </c>
      <c r="O184" s="70" t="s">
        <v>507</v>
      </c>
      <c r="P184" s="70" t="s">
        <v>553</v>
      </c>
      <c r="R184" s="70" t="s">
        <v>88</v>
      </c>
      <c r="U184" s="70" t="s">
        <v>554</v>
      </c>
      <c r="V184" s="70" t="s">
        <v>271</v>
      </c>
      <c r="W184" s="70" t="s">
        <v>53</v>
      </c>
      <c r="Y184" s="70" t="s">
        <v>44</v>
      </c>
      <c r="Z184" s="70" t="s">
        <v>555</v>
      </c>
      <c r="AB184" s="70" t="s">
        <v>47</v>
      </c>
      <c r="AC184" s="70" t="s">
        <v>556</v>
      </c>
      <c r="AD184" s="291" t="s">
        <v>557</v>
      </c>
      <c r="AF184" s="71" t="s">
        <v>47</v>
      </c>
    </row>
    <row r="185" spans="1:32" s="70" customFormat="1">
      <c r="A185" s="70" t="s">
        <v>558</v>
      </c>
      <c r="B185" s="68">
        <v>45489</v>
      </c>
      <c r="C185" s="68"/>
      <c r="D185" s="68">
        <v>45496</v>
      </c>
      <c r="E185" s="68">
        <v>45498</v>
      </c>
      <c r="F185" s="68">
        <v>45495</v>
      </c>
      <c r="I185" s="70">
        <v>220</v>
      </c>
      <c r="M185" s="70" t="s">
        <v>72</v>
      </c>
      <c r="N185" s="70" t="s">
        <v>261</v>
      </c>
      <c r="O185" s="70" t="s">
        <v>262</v>
      </c>
      <c r="P185" s="70" t="s">
        <v>515</v>
      </c>
      <c r="R185" s="70" t="s">
        <v>88</v>
      </c>
      <c r="U185" s="70" t="s">
        <v>516</v>
      </c>
      <c r="V185" s="70">
        <v>1</v>
      </c>
      <c r="W185" s="70" t="s">
        <v>53</v>
      </c>
      <c r="X185" s="70" t="s">
        <v>44</v>
      </c>
      <c r="Y185" s="70" t="s">
        <v>47</v>
      </c>
      <c r="Z185" s="70" t="s">
        <v>555</v>
      </c>
      <c r="AA185" s="70" t="s">
        <v>44</v>
      </c>
      <c r="AB185" s="70" t="s">
        <v>44</v>
      </c>
      <c r="AC185" s="70" t="s">
        <v>517</v>
      </c>
      <c r="AD185" s="291" t="s">
        <v>559</v>
      </c>
      <c r="AF185" s="71" t="s">
        <v>47</v>
      </c>
    </row>
    <row r="186" spans="1:32" s="70" customFormat="1">
      <c r="A186" s="70" t="s">
        <v>558</v>
      </c>
      <c r="B186" s="68">
        <v>45489</v>
      </c>
      <c r="C186" s="68">
        <v>45490</v>
      </c>
      <c r="D186" s="68">
        <v>45493</v>
      </c>
      <c r="E186" s="68">
        <v>45494</v>
      </c>
      <c r="F186" s="68">
        <v>45492</v>
      </c>
      <c r="H186" s="70">
        <v>230000</v>
      </c>
      <c r="I186" s="70">
        <v>1000</v>
      </c>
      <c r="J186" s="69">
        <f>+I186/H186</f>
        <v>4.3478260869565218E-3</v>
      </c>
      <c r="K186" s="146">
        <v>1732</v>
      </c>
      <c r="L186" s="114">
        <f>K186/H186</f>
        <v>7.5304347826086956E-3</v>
      </c>
      <c r="M186" s="70" t="s">
        <v>72</v>
      </c>
      <c r="N186" s="70" t="s">
        <v>136</v>
      </c>
      <c r="O186" s="70" t="s">
        <v>507</v>
      </c>
      <c r="P186" s="70" t="s">
        <v>330</v>
      </c>
      <c r="Q186" s="70" t="s">
        <v>76</v>
      </c>
      <c r="R186" s="70" t="s">
        <v>88</v>
      </c>
      <c r="U186" s="70" t="s">
        <v>560</v>
      </c>
      <c r="V186" s="70" t="s">
        <v>271</v>
      </c>
      <c r="W186" s="70" t="s">
        <v>53</v>
      </c>
      <c r="X186" s="70" t="s">
        <v>44</v>
      </c>
      <c r="Y186" s="70" t="s">
        <v>44</v>
      </c>
      <c r="Z186" s="70" t="s">
        <v>454</v>
      </c>
      <c r="AA186" s="70" t="s">
        <v>44</v>
      </c>
      <c r="AB186" s="70" t="s">
        <v>47</v>
      </c>
      <c r="AC186" s="70" t="s">
        <v>561</v>
      </c>
      <c r="AD186" s="291" t="s">
        <v>562</v>
      </c>
      <c r="AF186" s="71" t="s">
        <v>47</v>
      </c>
    </row>
    <row r="187" spans="1:32" s="70" customFormat="1">
      <c r="A187" s="70" t="s">
        <v>547</v>
      </c>
      <c r="B187" s="68">
        <v>45490</v>
      </c>
      <c r="C187" s="68">
        <v>45496</v>
      </c>
      <c r="D187" s="68">
        <v>45514</v>
      </c>
      <c r="E187" s="68">
        <v>45545</v>
      </c>
      <c r="F187" s="68">
        <v>45496</v>
      </c>
      <c r="H187" s="70">
        <v>1000</v>
      </c>
      <c r="I187" s="70">
        <v>100</v>
      </c>
      <c r="J187" s="118">
        <v>0.1</v>
      </c>
      <c r="M187" s="70" t="s">
        <v>33</v>
      </c>
      <c r="N187" s="70" t="s">
        <v>563</v>
      </c>
      <c r="O187" s="70" t="s">
        <v>564</v>
      </c>
      <c r="P187" s="70" t="s">
        <v>565</v>
      </c>
      <c r="Q187" s="70" t="s">
        <v>88</v>
      </c>
      <c r="R187" s="70" t="s">
        <v>88</v>
      </c>
      <c r="U187" s="70" t="s">
        <v>566</v>
      </c>
      <c r="V187" s="70">
        <v>1</v>
      </c>
      <c r="W187" s="70" t="s">
        <v>53</v>
      </c>
      <c r="X187" s="70" t="s">
        <v>567</v>
      </c>
      <c r="Y187" s="70" t="s">
        <v>567</v>
      </c>
      <c r="Z187" s="66" t="s">
        <v>568</v>
      </c>
      <c r="AA187" s="96" t="s">
        <v>567</v>
      </c>
      <c r="AB187" s="70" t="s">
        <v>47</v>
      </c>
      <c r="AC187" s="145" t="s">
        <v>569</v>
      </c>
      <c r="AD187" s="296" t="s">
        <v>570</v>
      </c>
      <c r="AE187" s="145" t="s">
        <v>571</v>
      </c>
      <c r="AF187" s="71" t="s">
        <v>47</v>
      </c>
    </row>
    <row r="188" spans="1:32" s="70" customFormat="1">
      <c r="A188" s="70" t="s">
        <v>572</v>
      </c>
      <c r="B188" s="68">
        <v>45498</v>
      </c>
      <c r="C188" s="68">
        <v>45503</v>
      </c>
      <c r="D188" s="68">
        <v>45514</v>
      </c>
      <c r="E188" s="68">
        <v>45515</v>
      </c>
      <c r="F188" s="68">
        <v>45513</v>
      </c>
      <c r="H188" s="70">
        <v>230000</v>
      </c>
      <c r="I188" s="70">
        <v>1000</v>
      </c>
      <c r="J188" s="69">
        <f>+I188/H188</f>
        <v>4.3478260869565218E-3</v>
      </c>
      <c r="K188" s="146">
        <v>7063</v>
      </c>
      <c r="L188" s="114">
        <f>K188/H188</f>
        <v>3.0708695652173913E-2</v>
      </c>
      <c r="M188" s="70" t="s">
        <v>72</v>
      </c>
      <c r="N188" s="70" t="s">
        <v>136</v>
      </c>
      <c r="O188" s="70" t="s">
        <v>507</v>
      </c>
      <c r="P188" s="70" t="s">
        <v>573</v>
      </c>
      <c r="Q188" s="70" t="s">
        <v>76</v>
      </c>
      <c r="R188" s="70" t="s">
        <v>88</v>
      </c>
      <c r="U188" s="70" t="s">
        <v>574</v>
      </c>
      <c r="V188" s="70" t="s">
        <v>271</v>
      </c>
      <c r="W188" s="70" t="s">
        <v>53</v>
      </c>
      <c r="X188" s="70" t="s">
        <v>44</v>
      </c>
      <c r="Y188" s="70" t="s">
        <v>44</v>
      </c>
      <c r="Z188" s="70" t="s">
        <v>544</v>
      </c>
      <c r="AA188" s="70" t="s">
        <v>44</v>
      </c>
      <c r="AB188" s="70" t="s">
        <v>47</v>
      </c>
      <c r="AC188" s="70" t="s">
        <v>575</v>
      </c>
      <c r="AD188" s="291" t="s">
        <v>576</v>
      </c>
      <c r="AF188" s="71" t="s">
        <v>47</v>
      </c>
    </row>
    <row r="189" spans="1:32" s="70" customFormat="1">
      <c r="A189" s="70" t="s">
        <v>572</v>
      </c>
      <c r="B189" s="68">
        <v>45502</v>
      </c>
      <c r="C189" s="68">
        <v>45509</v>
      </c>
      <c r="D189" s="68">
        <v>45517</v>
      </c>
      <c r="E189" s="68">
        <v>45527</v>
      </c>
      <c r="F189" s="68">
        <v>45513</v>
      </c>
      <c r="I189" s="70">
        <v>250</v>
      </c>
      <c r="J189" s="69"/>
      <c r="K189" s="70">
        <v>513</v>
      </c>
      <c r="M189" s="70" t="s">
        <v>72</v>
      </c>
      <c r="N189" s="70" t="s">
        <v>473</v>
      </c>
      <c r="O189" s="70" t="s">
        <v>262</v>
      </c>
      <c r="P189" s="70" t="s">
        <v>577</v>
      </c>
      <c r="Q189" s="70" t="s">
        <v>37</v>
      </c>
      <c r="R189" s="70" t="s">
        <v>88</v>
      </c>
      <c r="U189" s="70" t="s">
        <v>578</v>
      </c>
      <c r="V189" s="70">
        <v>1</v>
      </c>
      <c r="W189" s="70" t="s">
        <v>53</v>
      </c>
      <c r="X189" s="70" t="s">
        <v>44</v>
      </c>
      <c r="Y189" s="70" t="s">
        <v>47</v>
      </c>
      <c r="Z189" s="198" t="s">
        <v>579</v>
      </c>
      <c r="AA189" s="70" t="s">
        <v>44</v>
      </c>
      <c r="AB189" s="70" t="s">
        <v>47</v>
      </c>
      <c r="AC189" s="70" t="s">
        <v>580</v>
      </c>
      <c r="AD189" s="291" t="s">
        <v>581</v>
      </c>
      <c r="AF189" s="71" t="s">
        <v>47</v>
      </c>
    </row>
    <row r="190" spans="1:32" s="70" customFormat="1">
      <c r="A190" s="70" t="s">
        <v>582</v>
      </c>
      <c r="B190" s="68">
        <v>45505</v>
      </c>
      <c r="C190" s="68">
        <v>45519</v>
      </c>
      <c r="D190" s="68">
        <v>45520</v>
      </c>
      <c r="E190" s="68">
        <v>45642</v>
      </c>
      <c r="F190" s="68">
        <v>45520</v>
      </c>
      <c r="I190" s="70">
        <v>20</v>
      </c>
      <c r="J190" s="69"/>
      <c r="M190" s="70" t="s">
        <v>33</v>
      </c>
      <c r="N190" s="70" t="s">
        <v>93</v>
      </c>
      <c r="O190" s="70" t="s">
        <v>564</v>
      </c>
      <c r="P190" s="70" t="s">
        <v>583</v>
      </c>
      <c r="Q190" s="70" t="s">
        <v>37</v>
      </c>
      <c r="R190" s="70" t="s">
        <v>38</v>
      </c>
      <c r="S190" s="70">
        <v>20</v>
      </c>
      <c r="T190" s="70" t="s">
        <v>77</v>
      </c>
      <c r="V190" s="70">
        <v>1</v>
      </c>
      <c r="W190" s="70" t="s">
        <v>53</v>
      </c>
      <c r="X190" s="70" t="s">
        <v>44</v>
      </c>
      <c r="Y190" s="70" t="s">
        <v>44</v>
      </c>
      <c r="AA190" s="70" t="s">
        <v>44</v>
      </c>
      <c r="AB190" s="70" t="s">
        <v>47</v>
      </c>
      <c r="AC190" s="70" t="s">
        <v>584</v>
      </c>
      <c r="AD190" s="291" t="s">
        <v>585</v>
      </c>
      <c r="AF190" s="75" t="s">
        <v>586</v>
      </c>
    </row>
    <row r="191" spans="1:32" s="70" customFormat="1">
      <c r="A191" s="70" t="s">
        <v>587</v>
      </c>
      <c r="B191" s="68">
        <v>45505</v>
      </c>
      <c r="C191" s="68">
        <v>45512</v>
      </c>
      <c r="D191" s="68">
        <v>45517</v>
      </c>
      <c r="E191" s="68">
        <v>45522</v>
      </c>
      <c r="F191" s="68">
        <v>45513</v>
      </c>
      <c r="I191" s="70">
        <v>500</v>
      </c>
      <c r="K191" s="70">
        <v>176</v>
      </c>
      <c r="M191" s="70" t="s">
        <v>72</v>
      </c>
      <c r="N191" s="70" t="s">
        <v>473</v>
      </c>
      <c r="O191" s="70" t="s">
        <v>262</v>
      </c>
      <c r="P191" s="70" t="s">
        <v>588</v>
      </c>
      <c r="Q191" s="70" t="s">
        <v>37</v>
      </c>
      <c r="R191" s="70" t="s">
        <v>88</v>
      </c>
      <c r="U191" s="70" t="s">
        <v>589</v>
      </c>
      <c r="V191" s="70" t="s">
        <v>271</v>
      </c>
      <c r="W191" s="70" t="s">
        <v>53</v>
      </c>
      <c r="Y191" s="70" t="s">
        <v>44</v>
      </c>
      <c r="Z191" s="70" t="s">
        <v>590</v>
      </c>
      <c r="AA191" s="70" t="s">
        <v>44</v>
      </c>
      <c r="AB191" s="70" t="s">
        <v>47</v>
      </c>
      <c r="AC191" s="70" t="s">
        <v>591</v>
      </c>
      <c r="AD191" s="291" t="s">
        <v>592</v>
      </c>
      <c r="AF191" s="71" t="s">
        <v>47</v>
      </c>
    </row>
    <row r="192" spans="1:32" s="70" customFormat="1">
      <c r="A192" s="70" t="s">
        <v>593</v>
      </c>
      <c r="B192" s="68">
        <v>45488</v>
      </c>
      <c r="C192" s="68">
        <v>45512</v>
      </c>
      <c r="D192" s="68">
        <v>45524</v>
      </c>
      <c r="E192" s="68">
        <v>45525</v>
      </c>
      <c r="F192" s="68">
        <v>45499</v>
      </c>
      <c r="H192" s="70">
        <v>200000</v>
      </c>
      <c r="I192" s="70">
        <v>1000</v>
      </c>
      <c r="J192" s="69">
        <f>+I192/H192</f>
        <v>5.0000000000000001E-3</v>
      </c>
      <c r="M192" s="70" t="s">
        <v>72</v>
      </c>
      <c r="N192" s="70" t="s">
        <v>385</v>
      </c>
      <c r="O192" s="70" t="s">
        <v>507</v>
      </c>
      <c r="P192" s="70" t="s">
        <v>594</v>
      </c>
      <c r="Q192" s="70" t="s">
        <v>37</v>
      </c>
      <c r="R192" s="70" t="s">
        <v>88</v>
      </c>
      <c r="U192" s="70" t="s">
        <v>595</v>
      </c>
      <c r="W192" s="70" t="s">
        <v>53</v>
      </c>
      <c r="X192" s="70" t="s">
        <v>44</v>
      </c>
      <c r="Y192" s="70" t="s">
        <v>44</v>
      </c>
      <c r="Z192" s="70" t="s">
        <v>555</v>
      </c>
      <c r="AA192" s="70" t="s">
        <v>44</v>
      </c>
      <c r="AB192" s="70" t="s">
        <v>47</v>
      </c>
      <c r="AC192" s="70" t="s">
        <v>596</v>
      </c>
      <c r="AD192" s="291" t="s">
        <v>597</v>
      </c>
      <c r="AF192" s="71" t="s">
        <v>47</v>
      </c>
    </row>
    <row r="193" spans="1:32" s="85" customFormat="1">
      <c r="A193" s="85" t="s">
        <v>598</v>
      </c>
      <c r="B193" s="90">
        <v>45509</v>
      </c>
      <c r="C193" s="90">
        <v>45518</v>
      </c>
      <c r="D193" s="90">
        <v>45524</v>
      </c>
      <c r="E193" s="90">
        <v>45526</v>
      </c>
      <c r="F193" s="90">
        <v>45520</v>
      </c>
      <c r="I193" s="85">
        <v>75</v>
      </c>
      <c r="M193" s="85" t="s">
        <v>72</v>
      </c>
      <c r="N193" s="85" t="s">
        <v>473</v>
      </c>
      <c r="O193" s="85" t="s">
        <v>262</v>
      </c>
      <c r="P193" s="85" t="s">
        <v>599</v>
      </c>
      <c r="Q193" s="85" t="s">
        <v>37</v>
      </c>
      <c r="R193" s="85" t="s">
        <v>88</v>
      </c>
      <c r="U193" s="85" t="s">
        <v>600</v>
      </c>
      <c r="V193" s="85" t="s">
        <v>271</v>
      </c>
      <c r="W193" s="85" t="s">
        <v>53</v>
      </c>
      <c r="AA193" s="85" t="s">
        <v>44</v>
      </c>
      <c r="AB193" s="85" t="s">
        <v>47</v>
      </c>
      <c r="AD193" s="293"/>
    </row>
    <row r="194" spans="1:32" s="70" customFormat="1">
      <c r="A194" s="70" t="s">
        <v>587</v>
      </c>
      <c r="B194" s="68">
        <v>45510</v>
      </c>
      <c r="C194" s="68">
        <v>45520</v>
      </c>
      <c r="D194" s="68">
        <v>45531</v>
      </c>
      <c r="E194" s="68">
        <v>45532</v>
      </c>
      <c r="F194" s="68">
        <v>45525</v>
      </c>
      <c r="I194" s="70">
        <v>75</v>
      </c>
      <c r="K194" s="70">
        <v>49</v>
      </c>
      <c r="M194" s="70" t="s">
        <v>72</v>
      </c>
      <c r="N194" s="70" t="s">
        <v>473</v>
      </c>
      <c r="O194" s="70" t="s">
        <v>262</v>
      </c>
      <c r="P194" s="70" t="s">
        <v>601</v>
      </c>
      <c r="Q194" s="70" t="s">
        <v>76</v>
      </c>
      <c r="R194" s="70" t="s">
        <v>88</v>
      </c>
      <c r="U194" s="70" t="s">
        <v>602</v>
      </c>
      <c r="V194" s="70" t="s">
        <v>271</v>
      </c>
      <c r="W194" s="70" t="s">
        <v>53</v>
      </c>
      <c r="X194" s="70" t="s">
        <v>44</v>
      </c>
      <c r="Y194" s="70" t="s">
        <v>44</v>
      </c>
      <c r="Z194" s="70" t="s">
        <v>454</v>
      </c>
      <c r="AA194" s="70" t="s">
        <v>44</v>
      </c>
      <c r="AB194" s="70" t="s">
        <v>47</v>
      </c>
      <c r="AC194" s="70" t="s">
        <v>603</v>
      </c>
      <c r="AD194" s="291" t="s">
        <v>604</v>
      </c>
      <c r="AF194" s="71" t="s">
        <v>47</v>
      </c>
    </row>
    <row r="195" spans="1:32" s="70" customFormat="1" ht="43.5">
      <c r="A195" s="70" t="s">
        <v>587</v>
      </c>
      <c r="B195" s="68">
        <v>45511</v>
      </c>
      <c r="C195" s="68">
        <v>45517</v>
      </c>
      <c r="D195" s="68">
        <v>45530</v>
      </c>
      <c r="E195" s="68">
        <v>45532</v>
      </c>
      <c r="F195" s="68">
        <v>45527</v>
      </c>
      <c r="H195" s="147">
        <v>1000000</v>
      </c>
      <c r="I195" s="70">
        <v>5000</v>
      </c>
      <c r="J195" s="69">
        <f>+I195/H195</f>
        <v>5.0000000000000001E-3</v>
      </c>
      <c r="K195" s="146">
        <v>3301</v>
      </c>
      <c r="L195" s="114">
        <f t="shared" ref="L195:L197" si="24">K195/H195</f>
        <v>3.3010000000000001E-3</v>
      </c>
      <c r="M195" s="70" t="s">
        <v>72</v>
      </c>
      <c r="N195" s="70" t="s">
        <v>136</v>
      </c>
      <c r="O195" s="70" t="s">
        <v>507</v>
      </c>
      <c r="P195" s="70" t="s">
        <v>605</v>
      </c>
      <c r="Q195" s="70" t="s">
        <v>76</v>
      </c>
      <c r="R195" s="70" t="s">
        <v>88</v>
      </c>
      <c r="U195" s="66" t="s">
        <v>606</v>
      </c>
      <c r="V195" s="70" t="s">
        <v>271</v>
      </c>
      <c r="W195" s="70" t="s">
        <v>53</v>
      </c>
      <c r="X195" s="70" t="s">
        <v>44</v>
      </c>
      <c r="Y195" s="70" t="s">
        <v>44</v>
      </c>
      <c r="Z195" s="70" t="s">
        <v>454</v>
      </c>
      <c r="AA195" s="70" t="s">
        <v>44</v>
      </c>
      <c r="AB195" s="70" t="s">
        <v>47</v>
      </c>
      <c r="AC195" s="70" t="s">
        <v>607</v>
      </c>
      <c r="AD195" s="291" t="s">
        <v>608</v>
      </c>
      <c r="AE195" s="96" t="s">
        <v>609</v>
      </c>
      <c r="AF195" s="71" t="s">
        <v>47</v>
      </c>
    </row>
    <row r="196" spans="1:32" s="70" customFormat="1">
      <c r="A196" s="70" t="s">
        <v>587</v>
      </c>
      <c r="B196" s="68">
        <v>45511</v>
      </c>
      <c r="C196" s="68">
        <v>45517</v>
      </c>
      <c r="D196" s="68">
        <v>45533</v>
      </c>
      <c r="E196" s="68">
        <v>45534</v>
      </c>
      <c r="F196" s="68">
        <v>45527</v>
      </c>
      <c r="H196" s="147">
        <v>1000000</v>
      </c>
      <c r="I196" s="70">
        <v>20000</v>
      </c>
      <c r="J196" s="69">
        <f t="shared" ref="J196:J197" si="25">+I196/H196</f>
        <v>0.02</v>
      </c>
      <c r="K196" s="146">
        <v>6894</v>
      </c>
      <c r="L196" s="114">
        <f t="shared" si="24"/>
        <v>6.894E-3</v>
      </c>
      <c r="M196" s="70" t="s">
        <v>72</v>
      </c>
      <c r="N196" s="70" t="s">
        <v>136</v>
      </c>
      <c r="O196" s="70" t="s">
        <v>507</v>
      </c>
      <c r="P196" s="70" t="s">
        <v>610</v>
      </c>
      <c r="Q196" s="70" t="s">
        <v>37</v>
      </c>
      <c r="R196" s="70" t="s">
        <v>88</v>
      </c>
      <c r="U196" s="70" t="s">
        <v>611</v>
      </c>
      <c r="V196" s="70" t="s">
        <v>271</v>
      </c>
      <c r="W196" s="70" t="s">
        <v>53</v>
      </c>
      <c r="X196" s="70" t="s">
        <v>44</v>
      </c>
      <c r="Y196" s="70" t="s">
        <v>44</v>
      </c>
      <c r="Z196" s="70" t="s">
        <v>544</v>
      </c>
      <c r="AA196" s="70" t="s">
        <v>44</v>
      </c>
      <c r="AB196" s="70" t="s">
        <v>47</v>
      </c>
      <c r="AC196" s="70" t="s">
        <v>612</v>
      </c>
      <c r="AD196" s="291" t="s">
        <v>613</v>
      </c>
      <c r="AE196" s="96"/>
      <c r="AF196" s="71" t="s">
        <v>47</v>
      </c>
    </row>
    <row r="197" spans="1:32" s="70" customFormat="1">
      <c r="A197" s="96" t="s">
        <v>47</v>
      </c>
      <c r="B197" s="68">
        <v>45511</v>
      </c>
      <c r="C197" s="68">
        <v>45517</v>
      </c>
      <c r="D197" s="68">
        <v>45535</v>
      </c>
      <c r="E197" s="68">
        <v>45538</v>
      </c>
      <c r="F197" s="68">
        <v>45527</v>
      </c>
      <c r="H197" s="147">
        <v>1000000</v>
      </c>
      <c r="I197" s="70">
        <v>20000</v>
      </c>
      <c r="J197" s="69">
        <f t="shared" si="25"/>
        <v>0.02</v>
      </c>
      <c r="K197" s="146">
        <v>23347</v>
      </c>
      <c r="L197" s="114">
        <f t="shared" si="24"/>
        <v>2.3347E-2</v>
      </c>
      <c r="M197" s="70" t="s">
        <v>72</v>
      </c>
      <c r="N197" s="70" t="s">
        <v>136</v>
      </c>
      <c r="O197" s="70" t="s">
        <v>507</v>
      </c>
      <c r="P197" s="70" t="s">
        <v>614</v>
      </c>
      <c r="Q197" s="70" t="s">
        <v>37</v>
      </c>
      <c r="R197" s="70" t="s">
        <v>88</v>
      </c>
      <c r="U197" s="70" t="s">
        <v>615</v>
      </c>
      <c r="V197" s="70" t="s">
        <v>271</v>
      </c>
      <c r="W197" s="70" t="s">
        <v>53</v>
      </c>
      <c r="X197" s="70" t="s">
        <v>44</v>
      </c>
      <c r="Y197" s="70" t="s">
        <v>44</v>
      </c>
      <c r="Z197" s="70" t="s">
        <v>544</v>
      </c>
      <c r="AA197" s="70" t="s">
        <v>44</v>
      </c>
      <c r="AB197" s="70" t="s">
        <v>47</v>
      </c>
      <c r="AC197" s="70" t="s">
        <v>616</v>
      </c>
      <c r="AD197" s="291" t="s">
        <v>617</v>
      </c>
      <c r="AE197" s="96"/>
      <c r="AF197" s="71" t="s">
        <v>47</v>
      </c>
    </row>
    <row r="198" spans="1:32" s="70" customFormat="1">
      <c r="A198" s="70" t="s">
        <v>587</v>
      </c>
      <c r="B198" s="68">
        <v>45512</v>
      </c>
      <c r="C198" s="68">
        <v>45527</v>
      </c>
      <c r="D198" s="68">
        <v>45539</v>
      </c>
      <c r="E198" s="68">
        <v>45545</v>
      </c>
      <c r="F198" s="68">
        <v>45538</v>
      </c>
      <c r="I198" s="70">
        <v>1000</v>
      </c>
      <c r="K198" s="70">
        <v>858</v>
      </c>
      <c r="L198" s="114"/>
      <c r="M198" s="70" t="s">
        <v>72</v>
      </c>
      <c r="N198" s="70" t="s">
        <v>473</v>
      </c>
      <c r="O198" s="70" t="s">
        <v>262</v>
      </c>
      <c r="P198" s="70" t="s">
        <v>618</v>
      </c>
      <c r="Q198" s="70" t="s">
        <v>37</v>
      </c>
      <c r="R198" s="70" t="s">
        <v>88</v>
      </c>
      <c r="U198" s="66" t="s">
        <v>619</v>
      </c>
      <c r="V198" s="70" t="s">
        <v>271</v>
      </c>
      <c r="W198" s="70" t="s">
        <v>53</v>
      </c>
      <c r="X198" s="70" t="s">
        <v>44</v>
      </c>
      <c r="Y198" s="70" t="s">
        <v>44</v>
      </c>
      <c r="Z198" s="70" t="s">
        <v>620</v>
      </c>
      <c r="AA198" s="70" t="s">
        <v>44</v>
      </c>
      <c r="AB198" s="70" t="s">
        <v>47</v>
      </c>
      <c r="AC198" s="70" t="s">
        <v>621</v>
      </c>
      <c r="AD198" s="291" t="s">
        <v>622</v>
      </c>
      <c r="AF198" s="71" t="s">
        <v>47</v>
      </c>
    </row>
    <row r="199" spans="1:32" s="70" customFormat="1">
      <c r="A199" s="70" t="s">
        <v>623</v>
      </c>
      <c r="B199" s="68">
        <v>45524</v>
      </c>
      <c r="C199" s="68">
        <v>45555</v>
      </c>
      <c r="D199" s="68">
        <v>45566</v>
      </c>
      <c r="E199" s="68">
        <v>45570</v>
      </c>
      <c r="F199" s="68">
        <v>45562</v>
      </c>
      <c r="I199" s="70">
        <v>350</v>
      </c>
      <c r="K199" s="70">
        <v>379</v>
      </c>
      <c r="M199" s="70" t="s">
        <v>72</v>
      </c>
      <c r="N199" s="70" t="s">
        <v>473</v>
      </c>
      <c r="O199" s="70" t="s">
        <v>262</v>
      </c>
      <c r="P199" s="70" t="s">
        <v>624</v>
      </c>
      <c r="Q199" s="70" t="s">
        <v>76</v>
      </c>
      <c r="R199" s="70" t="s">
        <v>88</v>
      </c>
      <c r="U199" s="70" t="s">
        <v>625</v>
      </c>
      <c r="V199" s="70" t="s">
        <v>271</v>
      </c>
      <c r="W199" s="70" t="s">
        <v>53</v>
      </c>
      <c r="X199" s="70" t="s">
        <v>44</v>
      </c>
      <c r="Y199" s="70" t="s">
        <v>44</v>
      </c>
      <c r="Z199" s="70" t="s">
        <v>626</v>
      </c>
      <c r="AA199" s="70" t="s">
        <v>44</v>
      </c>
      <c r="AB199" s="70" t="s">
        <v>47</v>
      </c>
      <c r="AC199" s="70" t="s">
        <v>627</v>
      </c>
      <c r="AD199" s="291" t="s">
        <v>628</v>
      </c>
      <c r="AF199" s="71" t="s">
        <v>47</v>
      </c>
    </row>
    <row r="200" spans="1:32" s="70" customFormat="1">
      <c r="A200" s="70" t="s">
        <v>623</v>
      </c>
      <c r="B200" s="68">
        <v>45524</v>
      </c>
      <c r="C200" s="68">
        <v>45555</v>
      </c>
      <c r="D200" s="68">
        <v>45566</v>
      </c>
      <c r="E200" s="68">
        <v>45570</v>
      </c>
      <c r="F200" s="68">
        <v>45562</v>
      </c>
      <c r="I200" s="70">
        <v>350</v>
      </c>
      <c r="K200" s="70">
        <v>265</v>
      </c>
      <c r="M200" s="70" t="s">
        <v>72</v>
      </c>
      <c r="N200" s="70" t="s">
        <v>473</v>
      </c>
      <c r="O200" s="70" t="s">
        <v>262</v>
      </c>
      <c r="P200" s="70" t="s">
        <v>629</v>
      </c>
      <c r="Q200" s="70" t="s">
        <v>76</v>
      </c>
      <c r="R200" s="70" t="s">
        <v>88</v>
      </c>
      <c r="U200" s="70" t="s">
        <v>630</v>
      </c>
      <c r="V200" s="70" t="s">
        <v>271</v>
      </c>
      <c r="W200" s="70" t="s">
        <v>53</v>
      </c>
      <c r="X200" s="70" t="s">
        <v>44</v>
      </c>
      <c r="Y200" s="70" t="s">
        <v>44</v>
      </c>
      <c r="Z200" s="70" t="s">
        <v>631</v>
      </c>
      <c r="AA200" s="70" t="s">
        <v>44</v>
      </c>
      <c r="AB200" s="70" t="s">
        <v>47</v>
      </c>
      <c r="AC200" s="70" t="s">
        <v>632</v>
      </c>
      <c r="AD200" s="291" t="s">
        <v>633</v>
      </c>
      <c r="AF200" s="71" t="s">
        <v>47</v>
      </c>
    </row>
    <row r="201" spans="1:32" s="70" customFormat="1">
      <c r="A201" s="70" t="s">
        <v>623</v>
      </c>
      <c r="B201" s="68">
        <v>45892</v>
      </c>
      <c r="C201" s="68">
        <v>45531</v>
      </c>
      <c r="D201" s="102">
        <v>45536</v>
      </c>
      <c r="E201" s="68">
        <v>45606</v>
      </c>
      <c r="F201" s="68">
        <v>45534</v>
      </c>
      <c r="H201" s="70">
        <v>10000</v>
      </c>
      <c r="I201" s="70">
        <f>H201*J201</f>
        <v>25</v>
      </c>
      <c r="J201" s="114">
        <v>2.5000000000000001E-3</v>
      </c>
      <c r="M201" s="70" t="s">
        <v>72</v>
      </c>
      <c r="N201" s="70" t="s">
        <v>261</v>
      </c>
      <c r="O201" s="70" t="s">
        <v>496</v>
      </c>
      <c r="P201" s="70" t="s">
        <v>497</v>
      </c>
      <c r="Q201" s="70" t="s">
        <v>37</v>
      </c>
      <c r="R201" s="70" t="s">
        <v>38</v>
      </c>
      <c r="S201" s="70">
        <v>20000</v>
      </c>
      <c r="T201" s="70" t="s">
        <v>77</v>
      </c>
      <c r="Z201" s="70" t="s">
        <v>162</v>
      </c>
      <c r="AA201" s="70" t="s">
        <v>44</v>
      </c>
      <c r="AB201" s="70" t="s">
        <v>44</v>
      </c>
      <c r="AC201" s="70" t="s">
        <v>634</v>
      </c>
      <c r="AD201" s="291" t="s">
        <v>635</v>
      </c>
      <c r="AF201" s="71" t="s">
        <v>47</v>
      </c>
    </row>
    <row r="202" spans="1:32" s="70" customFormat="1">
      <c r="A202" s="70" t="s">
        <v>623</v>
      </c>
      <c r="B202" s="68">
        <v>45892</v>
      </c>
      <c r="C202" s="68">
        <v>45531</v>
      </c>
      <c r="D202" s="102">
        <v>45536</v>
      </c>
      <c r="E202" s="68">
        <v>45606</v>
      </c>
      <c r="F202" s="68">
        <v>45534</v>
      </c>
      <c r="H202" s="70">
        <v>10000</v>
      </c>
      <c r="I202" s="70">
        <f t="shared" ref="I202:I203" si="26">H202*J202</f>
        <v>40</v>
      </c>
      <c r="J202" s="114">
        <v>4.0000000000000001E-3</v>
      </c>
      <c r="M202" s="70" t="s">
        <v>72</v>
      </c>
      <c r="N202" s="70" t="s">
        <v>261</v>
      </c>
      <c r="O202" s="70" t="s">
        <v>496</v>
      </c>
      <c r="P202" s="70" t="s">
        <v>500</v>
      </c>
      <c r="Q202" s="70" t="s">
        <v>37</v>
      </c>
      <c r="R202" s="70" t="s">
        <v>38</v>
      </c>
      <c r="S202" s="70">
        <v>35000</v>
      </c>
      <c r="T202" s="70" t="s">
        <v>77</v>
      </c>
      <c r="Z202" s="70" t="s">
        <v>162</v>
      </c>
      <c r="AA202" s="70" t="s">
        <v>44</v>
      </c>
      <c r="AB202" s="70" t="s">
        <v>47</v>
      </c>
      <c r="AC202" s="70" t="s">
        <v>636</v>
      </c>
      <c r="AD202" s="291" t="s">
        <v>637</v>
      </c>
      <c r="AF202" s="71" t="s">
        <v>47</v>
      </c>
    </row>
    <row r="203" spans="1:32" s="70" customFormat="1">
      <c r="A203" s="70" t="s">
        <v>623</v>
      </c>
      <c r="B203" s="68">
        <v>45892</v>
      </c>
      <c r="C203" s="68">
        <v>45531</v>
      </c>
      <c r="D203" s="102">
        <v>45536</v>
      </c>
      <c r="E203" s="68">
        <v>45606</v>
      </c>
      <c r="F203" s="68">
        <v>45534</v>
      </c>
      <c r="H203" s="70">
        <v>5000</v>
      </c>
      <c r="I203" s="70">
        <f t="shared" si="26"/>
        <v>20</v>
      </c>
      <c r="J203" s="114">
        <v>4.0000000000000001E-3</v>
      </c>
      <c r="M203" s="70" t="s">
        <v>72</v>
      </c>
      <c r="N203" s="70" t="s">
        <v>261</v>
      </c>
      <c r="O203" s="70" t="s">
        <v>496</v>
      </c>
      <c r="P203" s="70" t="s">
        <v>503</v>
      </c>
      <c r="Q203" s="70" t="s">
        <v>37</v>
      </c>
      <c r="R203" s="70" t="s">
        <v>38</v>
      </c>
      <c r="S203" s="70">
        <v>10000</v>
      </c>
      <c r="T203" s="70" t="s">
        <v>77</v>
      </c>
      <c r="Z203" s="70" t="s">
        <v>162</v>
      </c>
      <c r="AA203" s="70" t="s">
        <v>44</v>
      </c>
      <c r="AB203" s="70" t="s">
        <v>47</v>
      </c>
      <c r="AC203" s="70" t="s">
        <v>638</v>
      </c>
      <c r="AD203" s="291" t="s">
        <v>639</v>
      </c>
      <c r="AF203" s="71" t="s">
        <v>47</v>
      </c>
    </row>
    <row r="204" spans="1:32" s="70" customFormat="1">
      <c r="A204" s="70" t="s">
        <v>623</v>
      </c>
      <c r="B204" s="68">
        <v>45530</v>
      </c>
      <c r="C204" s="68">
        <v>45548</v>
      </c>
      <c r="D204" s="68">
        <v>45559</v>
      </c>
      <c r="E204" s="68">
        <v>45562</v>
      </c>
      <c r="F204" s="68">
        <v>45555</v>
      </c>
      <c r="I204" s="70">
        <v>250</v>
      </c>
      <c r="K204" s="70">
        <v>96</v>
      </c>
      <c r="M204" s="70" t="s">
        <v>72</v>
      </c>
      <c r="N204" s="70" t="s">
        <v>473</v>
      </c>
      <c r="O204" s="70" t="s">
        <v>262</v>
      </c>
      <c r="P204" s="70" t="s">
        <v>640</v>
      </c>
      <c r="Q204" s="70" t="s">
        <v>37</v>
      </c>
      <c r="R204" s="70" t="s">
        <v>88</v>
      </c>
      <c r="T204" s="66" t="s">
        <v>77</v>
      </c>
      <c r="U204" s="70" t="s">
        <v>641</v>
      </c>
      <c r="V204" s="70">
        <v>1</v>
      </c>
      <c r="W204" s="70" t="s">
        <v>53</v>
      </c>
      <c r="X204" s="70" t="s">
        <v>44</v>
      </c>
      <c r="Y204" s="70" t="s">
        <v>47</v>
      </c>
      <c r="Z204" s="70" t="s">
        <v>162</v>
      </c>
      <c r="AA204" s="70" t="s">
        <v>44</v>
      </c>
      <c r="AB204" s="70" t="s">
        <v>47</v>
      </c>
      <c r="AC204" s="70" t="s">
        <v>642</v>
      </c>
      <c r="AD204" s="291" t="s">
        <v>643</v>
      </c>
      <c r="AF204" s="71" t="s">
        <v>47</v>
      </c>
    </row>
    <row r="205" spans="1:32" s="70" customFormat="1">
      <c r="A205" s="70" t="s">
        <v>644</v>
      </c>
      <c r="B205" s="68">
        <v>45533</v>
      </c>
      <c r="C205" s="68">
        <v>45560</v>
      </c>
      <c r="D205" s="68">
        <v>45580</v>
      </c>
      <c r="E205" s="68">
        <v>45636</v>
      </c>
      <c r="F205" s="68">
        <v>45565</v>
      </c>
      <c r="H205" s="70">
        <v>16000</v>
      </c>
      <c r="I205" s="70">
        <f>H205*J205</f>
        <v>40</v>
      </c>
      <c r="J205" s="114">
        <v>2.5000000000000001E-3</v>
      </c>
      <c r="M205" s="70" t="s">
        <v>72</v>
      </c>
      <c r="N205" s="70" t="s">
        <v>261</v>
      </c>
      <c r="O205" s="70" t="s">
        <v>496</v>
      </c>
      <c r="P205" s="70" t="s">
        <v>497</v>
      </c>
      <c r="Q205" s="70" t="s">
        <v>37</v>
      </c>
      <c r="R205" s="70" t="s">
        <v>38</v>
      </c>
      <c r="S205" s="70">
        <v>16000</v>
      </c>
      <c r="T205" s="70" t="s">
        <v>77</v>
      </c>
      <c r="Y205" s="70" t="s">
        <v>47</v>
      </c>
      <c r="Z205" s="70" t="s">
        <v>162</v>
      </c>
      <c r="AA205" s="70" t="s">
        <v>44</v>
      </c>
      <c r="AB205" s="70" t="s">
        <v>44</v>
      </c>
      <c r="AC205" s="70" t="s">
        <v>645</v>
      </c>
      <c r="AD205" s="291" t="s">
        <v>646</v>
      </c>
      <c r="AF205" s="71" t="s">
        <v>47</v>
      </c>
    </row>
    <row r="206" spans="1:32" s="70" customFormat="1">
      <c r="A206" s="70" t="s">
        <v>644</v>
      </c>
      <c r="B206" s="68">
        <v>45533</v>
      </c>
      <c r="C206" s="68">
        <v>45560</v>
      </c>
      <c r="D206" s="68">
        <v>45580</v>
      </c>
      <c r="E206" s="68">
        <v>45636</v>
      </c>
      <c r="F206" s="68">
        <v>45565</v>
      </c>
      <c r="H206" s="70">
        <v>15000</v>
      </c>
      <c r="I206" s="70">
        <f>H206*J206</f>
        <v>60</v>
      </c>
      <c r="J206" s="114">
        <v>4.0000000000000001E-3</v>
      </c>
      <c r="M206" s="70" t="s">
        <v>72</v>
      </c>
      <c r="N206" s="70" t="s">
        <v>261</v>
      </c>
      <c r="O206" s="70" t="s">
        <v>496</v>
      </c>
      <c r="P206" s="70" t="s">
        <v>500</v>
      </c>
      <c r="Q206" s="70" t="s">
        <v>37</v>
      </c>
      <c r="R206" s="70" t="s">
        <v>38</v>
      </c>
      <c r="S206" s="70">
        <v>15000</v>
      </c>
      <c r="T206" s="70" t="s">
        <v>77</v>
      </c>
      <c r="Z206" s="70" t="s">
        <v>162</v>
      </c>
      <c r="AA206" s="70" t="s">
        <v>44</v>
      </c>
      <c r="AB206" s="70" t="s">
        <v>47</v>
      </c>
      <c r="AC206" s="70" t="s">
        <v>647</v>
      </c>
      <c r="AD206" s="291" t="s">
        <v>648</v>
      </c>
      <c r="AF206" s="71" t="s">
        <v>47</v>
      </c>
    </row>
    <row r="207" spans="1:32" s="70" customFormat="1">
      <c r="A207" s="70" t="s">
        <v>644</v>
      </c>
      <c r="B207" s="68">
        <v>45533</v>
      </c>
      <c r="C207" s="68">
        <v>45560</v>
      </c>
      <c r="D207" s="68">
        <v>45580</v>
      </c>
      <c r="E207" s="68">
        <v>45636</v>
      </c>
      <c r="F207" s="68">
        <v>45565</v>
      </c>
      <c r="H207" s="70">
        <v>15000</v>
      </c>
      <c r="I207" s="70">
        <f>H207*J207</f>
        <v>60</v>
      </c>
      <c r="J207" s="114">
        <v>4.0000000000000001E-3</v>
      </c>
      <c r="M207" s="70" t="s">
        <v>72</v>
      </c>
      <c r="N207" s="70" t="s">
        <v>261</v>
      </c>
      <c r="O207" s="70" t="s">
        <v>496</v>
      </c>
      <c r="P207" s="70" t="s">
        <v>503</v>
      </c>
      <c r="Q207" s="70" t="s">
        <v>37</v>
      </c>
      <c r="R207" s="70" t="s">
        <v>38</v>
      </c>
      <c r="S207" s="70">
        <v>15000</v>
      </c>
      <c r="T207" s="70" t="s">
        <v>77</v>
      </c>
      <c r="Z207" s="70" t="s">
        <v>162</v>
      </c>
      <c r="AA207" s="70" t="s">
        <v>44</v>
      </c>
      <c r="AB207" s="70" t="s">
        <v>47</v>
      </c>
      <c r="AC207" s="70" t="s">
        <v>649</v>
      </c>
      <c r="AD207" s="291" t="s">
        <v>650</v>
      </c>
      <c r="AF207" s="71" t="s">
        <v>47</v>
      </c>
    </row>
    <row r="208" spans="1:32" s="70" customFormat="1">
      <c r="A208" s="70" t="s">
        <v>644</v>
      </c>
      <c r="B208" s="68">
        <v>45540</v>
      </c>
      <c r="C208" s="68">
        <v>45540</v>
      </c>
      <c r="D208" s="68">
        <v>45549</v>
      </c>
      <c r="E208" s="68">
        <v>45550</v>
      </c>
      <c r="F208" s="68">
        <v>45548</v>
      </c>
      <c r="G208" s="68">
        <v>45548</v>
      </c>
      <c r="H208" s="147">
        <v>630000</v>
      </c>
      <c r="I208" s="66">
        <f>H208*J208</f>
        <v>2520</v>
      </c>
      <c r="J208" s="114">
        <v>4.0000000000000001E-3</v>
      </c>
      <c r="K208" s="70">
        <v>425</v>
      </c>
      <c r="L208" s="114">
        <f t="shared" ref="L208" si="27">K208/H208</f>
        <v>6.7460317460317466E-4</v>
      </c>
      <c r="M208" s="70" t="s">
        <v>72</v>
      </c>
      <c r="N208" s="70" t="s">
        <v>136</v>
      </c>
      <c r="O208" s="70" t="s">
        <v>507</v>
      </c>
      <c r="P208" s="70" t="s">
        <v>565</v>
      </c>
      <c r="Q208" s="70" t="s">
        <v>37</v>
      </c>
      <c r="R208" s="70" t="s">
        <v>38</v>
      </c>
      <c r="S208" s="70">
        <v>730000</v>
      </c>
      <c r="T208" s="70" t="s">
        <v>77</v>
      </c>
      <c r="Z208" s="70" t="s">
        <v>651</v>
      </c>
      <c r="AA208" s="70" t="s">
        <v>44</v>
      </c>
      <c r="AB208" s="70" t="s">
        <v>47</v>
      </c>
      <c r="AC208" s="70" t="s">
        <v>652</v>
      </c>
      <c r="AD208" s="291" t="s">
        <v>653</v>
      </c>
      <c r="AF208" s="71" t="s">
        <v>47</v>
      </c>
    </row>
    <row r="209" spans="1:32" s="70" customFormat="1">
      <c r="A209" s="70" t="s">
        <v>644</v>
      </c>
      <c r="B209" s="68">
        <v>45540</v>
      </c>
      <c r="C209" s="68">
        <v>45545</v>
      </c>
      <c r="D209" s="68">
        <v>45598</v>
      </c>
      <c r="E209" s="68">
        <v>45687</v>
      </c>
      <c r="F209" s="68">
        <v>45545</v>
      </c>
      <c r="H209" s="70">
        <v>300</v>
      </c>
      <c r="I209" s="70">
        <v>30</v>
      </c>
      <c r="J209" s="148">
        <v>0.1</v>
      </c>
      <c r="M209" s="70" t="s">
        <v>72</v>
      </c>
      <c r="N209" s="70" t="s">
        <v>563</v>
      </c>
      <c r="O209" s="70" t="s">
        <v>564</v>
      </c>
      <c r="P209" s="70" t="s">
        <v>565</v>
      </c>
      <c r="Q209" s="70" t="s">
        <v>37</v>
      </c>
      <c r="R209" s="70" t="s">
        <v>38</v>
      </c>
      <c r="S209" s="70">
        <v>300</v>
      </c>
      <c r="T209" s="70" t="s">
        <v>77</v>
      </c>
      <c r="V209" s="70">
        <v>1</v>
      </c>
      <c r="W209" s="70" t="s">
        <v>53</v>
      </c>
      <c r="X209" s="70" t="s">
        <v>44</v>
      </c>
      <c r="Y209" s="70" t="s">
        <v>44</v>
      </c>
      <c r="Z209" s="70" t="s">
        <v>162</v>
      </c>
      <c r="AA209" s="70" t="s">
        <v>44</v>
      </c>
      <c r="AB209" s="70" t="s">
        <v>47</v>
      </c>
      <c r="AC209" s="70" t="s">
        <v>654</v>
      </c>
      <c r="AD209" s="291" t="s">
        <v>655</v>
      </c>
      <c r="AF209" s="71" t="s">
        <v>47</v>
      </c>
    </row>
    <row r="210" spans="1:32" s="70" customFormat="1">
      <c r="A210" s="70" t="s">
        <v>656</v>
      </c>
      <c r="B210" s="68">
        <v>45551</v>
      </c>
      <c r="C210" s="68">
        <v>45552</v>
      </c>
      <c r="D210" s="68">
        <v>45558</v>
      </c>
      <c r="E210" s="68">
        <v>45558</v>
      </c>
      <c r="F210" s="68">
        <v>45555</v>
      </c>
      <c r="I210" s="70">
        <v>150</v>
      </c>
      <c r="K210" s="70">
        <v>28</v>
      </c>
      <c r="M210" s="70" t="s">
        <v>72</v>
      </c>
      <c r="N210" s="70" t="s">
        <v>473</v>
      </c>
      <c r="O210" s="70" t="s">
        <v>262</v>
      </c>
      <c r="P210" s="70" t="s">
        <v>657</v>
      </c>
      <c r="Q210" s="70" t="s">
        <v>37</v>
      </c>
      <c r="R210" s="70" t="s">
        <v>38</v>
      </c>
      <c r="U210" s="70" t="s">
        <v>658</v>
      </c>
      <c r="V210" s="70" t="s">
        <v>271</v>
      </c>
      <c r="W210" s="70" t="s">
        <v>53</v>
      </c>
      <c r="Y210" s="70" t="s">
        <v>44</v>
      </c>
      <c r="Z210" s="70" t="s">
        <v>590</v>
      </c>
      <c r="AA210" s="70" t="s">
        <v>44</v>
      </c>
      <c r="AB210" s="70" t="s">
        <v>47</v>
      </c>
      <c r="AC210" s="70" t="s">
        <v>659</v>
      </c>
      <c r="AD210" s="291" t="s">
        <v>660</v>
      </c>
      <c r="AF210" s="71" t="s">
        <v>47</v>
      </c>
    </row>
    <row r="211" spans="1:32" s="70" customFormat="1" ht="15">
      <c r="A211" s="70" t="s">
        <v>656</v>
      </c>
      <c r="B211" s="68">
        <v>45551</v>
      </c>
      <c r="C211" s="68">
        <v>45551</v>
      </c>
      <c r="D211" s="68">
        <v>45555</v>
      </c>
      <c r="E211" s="68">
        <v>45557</v>
      </c>
      <c r="F211" s="68">
        <v>45551</v>
      </c>
      <c r="H211" s="70" t="s">
        <v>139</v>
      </c>
      <c r="I211" s="70" t="s">
        <v>139</v>
      </c>
      <c r="J211" s="70" t="s">
        <v>139</v>
      </c>
      <c r="M211" s="70" t="s">
        <v>72</v>
      </c>
      <c r="N211" s="70" t="s">
        <v>140</v>
      </c>
      <c r="O211" s="70" t="s">
        <v>35</v>
      </c>
      <c r="P211" s="70" t="s">
        <v>661</v>
      </c>
      <c r="Q211" s="70" t="s">
        <v>76</v>
      </c>
      <c r="R211" s="70" t="s">
        <v>88</v>
      </c>
      <c r="U211" s="70" t="s">
        <v>662</v>
      </c>
      <c r="V211" s="70" t="s">
        <v>271</v>
      </c>
      <c r="W211" s="70" t="s">
        <v>53</v>
      </c>
      <c r="X211" s="70" t="s">
        <v>44</v>
      </c>
      <c r="Y211" s="70" t="s">
        <v>44</v>
      </c>
      <c r="Z211" s="70" t="s">
        <v>454</v>
      </c>
      <c r="AA211" s="70" t="s">
        <v>44</v>
      </c>
      <c r="AB211" s="70" t="s">
        <v>47</v>
      </c>
      <c r="AC211" s="70" t="s">
        <v>663</v>
      </c>
      <c r="AD211" s="296" t="s">
        <v>664</v>
      </c>
      <c r="AF211" s="71" t="s">
        <v>47</v>
      </c>
    </row>
    <row r="212" spans="1:32" s="70" customFormat="1">
      <c r="A212" s="70" t="s">
        <v>665</v>
      </c>
      <c r="B212" s="68">
        <v>45558</v>
      </c>
      <c r="C212" s="68">
        <v>45559</v>
      </c>
      <c r="D212" s="68">
        <v>45566</v>
      </c>
      <c r="E212" s="68">
        <v>45567</v>
      </c>
      <c r="F212" s="68">
        <v>45562</v>
      </c>
      <c r="G212" s="68">
        <v>45565</v>
      </c>
      <c r="H212" s="147">
        <v>360000</v>
      </c>
      <c r="I212" s="66">
        <f>H212*J212</f>
        <v>288</v>
      </c>
      <c r="J212" s="114">
        <v>8.0000000000000004E-4</v>
      </c>
      <c r="L212" s="114"/>
      <c r="M212" s="70" t="s">
        <v>72</v>
      </c>
      <c r="N212" s="70" t="s">
        <v>136</v>
      </c>
      <c r="O212" s="70" t="s">
        <v>74</v>
      </c>
      <c r="P212" s="70" t="s">
        <v>666</v>
      </c>
      <c r="Q212" s="70" t="s">
        <v>37</v>
      </c>
      <c r="R212" s="70" t="s">
        <v>38</v>
      </c>
      <c r="S212" s="70">
        <v>460000</v>
      </c>
      <c r="T212" s="70" t="s">
        <v>77</v>
      </c>
      <c r="Z212" s="70" t="s">
        <v>651</v>
      </c>
      <c r="AA212" s="70" t="s">
        <v>44</v>
      </c>
      <c r="AB212" s="70" t="s">
        <v>47</v>
      </c>
      <c r="AC212" s="70" t="s">
        <v>667</v>
      </c>
      <c r="AD212" s="291" t="s">
        <v>668</v>
      </c>
      <c r="AF212" s="71" t="s">
        <v>47</v>
      </c>
    </row>
    <row r="213" spans="1:32" s="70" customFormat="1">
      <c r="A213" s="70" t="s">
        <v>669</v>
      </c>
      <c r="B213" s="68">
        <v>45559</v>
      </c>
      <c r="C213" s="68">
        <v>45562</v>
      </c>
      <c r="D213" s="68">
        <v>45572</v>
      </c>
      <c r="E213" s="68">
        <v>45596</v>
      </c>
      <c r="F213" s="68">
        <v>45567</v>
      </c>
      <c r="H213" s="70">
        <v>12000</v>
      </c>
      <c r="I213" s="66">
        <f t="shared" ref="I213:I214" si="28">H213*J213</f>
        <v>600</v>
      </c>
      <c r="J213" s="70">
        <v>0.05</v>
      </c>
      <c r="M213" s="70" t="s">
        <v>72</v>
      </c>
      <c r="N213" s="70" t="s">
        <v>385</v>
      </c>
      <c r="O213" s="70" t="s">
        <v>670</v>
      </c>
      <c r="P213" s="70" t="s">
        <v>671</v>
      </c>
      <c r="Q213" s="70" t="s">
        <v>37</v>
      </c>
      <c r="R213" s="70" t="s">
        <v>38</v>
      </c>
      <c r="S213" s="97">
        <v>15000</v>
      </c>
      <c r="T213" s="70" t="s">
        <v>77</v>
      </c>
      <c r="W213" s="70" t="s">
        <v>53</v>
      </c>
      <c r="Y213" s="70" t="s">
        <v>44</v>
      </c>
      <c r="Z213" s="70" t="s">
        <v>162</v>
      </c>
      <c r="AA213" s="70" t="s">
        <v>44</v>
      </c>
      <c r="AB213" s="70" t="s">
        <v>47</v>
      </c>
      <c r="AC213" s="70" t="s">
        <v>672</v>
      </c>
      <c r="AD213" s="291" t="s">
        <v>673</v>
      </c>
      <c r="AF213" s="71" t="s">
        <v>47</v>
      </c>
    </row>
    <row r="214" spans="1:32" s="70" customFormat="1">
      <c r="A214" s="70" t="s">
        <v>669</v>
      </c>
      <c r="B214" s="68">
        <v>45559</v>
      </c>
      <c r="C214" s="68">
        <v>45562</v>
      </c>
      <c r="D214" s="68">
        <v>45572</v>
      </c>
      <c r="E214" s="68">
        <v>45596</v>
      </c>
      <c r="F214" s="68">
        <v>45567</v>
      </c>
      <c r="H214" s="70">
        <v>12000</v>
      </c>
      <c r="I214" s="66">
        <f t="shared" si="28"/>
        <v>600</v>
      </c>
      <c r="J214" s="70">
        <v>0.05</v>
      </c>
      <c r="M214" s="70" t="s">
        <v>72</v>
      </c>
      <c r="N214" s="70" t="s">
        <v>385</v>
      </c>
      <c r="O214" s="70" t="s">
        <v>670</v>
      </c>
      <c r="P214" s="70" t="s">
        <v>674</v>
      </c>
      <c r="Q214" s="70" t="s">
        <v>37</v>
      </c>
      <c r="R214" s="70" t="s">
        <v>38</v>
      </c>
      <c r="S214" s="97">
        <v>15000</v>
      </c>
      <c r="T214" s="70" t="s">
        <v>77</v>
      </c>
      <c r="W214" s="70" t="s">
        <v>53</v>
      </c>
      <c r="Y214" s="70" t="s">
        <v>44</v>
      </c>
      <c r="Z214" s="70" t="s">
        <v>162</v>
      </c>
      <c r="AA214" s="70" t="s">
        <v>44</v>
      </c>
      <c r="AB214" s="70" t="s">
        <v>47</v>
      </c>
      <c r="AC214" s="70" t="s">
        <v>675</v>
      </c>
      <c r="AD214" s="291" t="s">
        <v>676</v>
      </c>
      <c r="AF214" s="71" t="s">
        <v>47</v>
      </c>
    </row>
    <row r="215" spans="1:32" s="70" customFormat="1">
      <c r="A215" s="70" t="s">
        <v>669</v>
      </c>
      <c r="B215" s="68">
        <v>45560</v>
      </c>
      <c r="C215" s="68">
        <v>45561</v>
      </c>
      <c r="D215" s="68">
        <v>45576</v>
      </c>
      <c r="E215" s="68">
        <v>45578</v>
      </c>
      <c r="F215" s="68"/>
      <c r="H215" s="147">
        <v>1000000</v>
      </c>
      <c r="I215" s="70">
        <v>3500</v>
      </c>
      <c r="J215" s="69">
        <f>+I215/H215</f>
        <v>3.5000000000000001E-3</v>
      </c>
      <c r="K215" s="146"/>
      <c r="L215" s="114"/>
      <c r="M215" s="70" t="s">
        <v>72</v>
      </c>
      <c r="N215" s="70" t="s">
        <v>136</v>
      </c>
      <c r="O215" s="70" t="s">
        <v>507</v>
      </c>
      <c r="P215" s="70" t="s">
        <v>677</v>
      </c>
      <c r="Q215" s="70" t="s">
        <v>76</v>
      </c>
      <c r="R215" s="70" t="s">
        <v>88</v>
      </c>
      <c r="U215" s="66" t="s">
        <v>678</v>
      </c>
      <c r="V215" s="70" t="s">
        <v>271</v>
      </c>
      <c r="W215" s="70" t="s">
        <v>53</v>
      </c>
      <c r="X215" s="70" t="s">
        <v>44</v>
      </c>
      <c r="Y215" s="70" t="s">
        <v>44</v>
      </c>
      <c r="Z215" s="70" t="s">
        <v>454</v>
      </c>
      <c r="AA215" s="70" t="s">
        <v>44</v>
      </c>
      <c r="AB215" s="70" t="s">
        <v>47</v>
      </c>
      <c r="AC215" s="70" t="s">
        <v>679</v>
      </c>
      <c r="AD215" s="291" t="s">
        <v>680</v>
      </c>
      <c r="AE215" s="96"/>
      <c r="AF215" s="71" t="s">
        <v>47</v>
      </c>
    </row>
    <row r="216" spans="1:32" s="70" customFormat="1">
      <c r="A216" s="70" t="s">
        <v>669</v>
      </c>
      <c r="B216" s="68">
        <v>45560</v>
      </c>
      <c r="C216" s="68">
        <v>45561</v>
      </c>
      <c r="D216" s="68">
        <v>45582</v>
      </c>
      <c r="E216" s="68">
        <v>45584</v>
      </c>
      <c r="F216" s="68"/>
      <c r="H216" s="147">
        <v>1000000</v>
      </c>
      <c r="I216" s="70">
        <v>7000</v>
      </c>
      <c r="J216" s="69">
        <f>+I216/H216</f>
        <v>7.0000000000000001E-3</v>
      </c>
      <c r="K216" s="146"/>
      <c r="L216" s="114"/>
      <c r="M216" s="70" t="s">
        <v>72</v>
      </c>
      <c r="N216" s="70" t="s">
        <v>136</v>
      </c>
      <c r="O216" s="70" t="s">
        <v>507</v>
      </c>
      <c r="P216" s="70" t="s">
        <v>573</v>
      </c>
      <c r="Q216" s="70" t="s">
        <v>37</v>
      </c>
      <c r="R216" s="70" t="s">
        <v>88</v>
      </c>
      <c r="U216" s="66" t="s">
        <v>284</v>
      </c>
      <c r="V216" s="70" t="s">
        <v>271</v>
      </c>
      <c r="W216" s="70" t="s">
        <v>53</v>
      </c>
      <c r="X216" s="70" t="s">
        <v>44</v>
      </c>
      <c r="Y216" s="70" t="s">
        <v>44</v>
      </c>
      <c r="Z216" s="70" t="s">
        <v>544</v>
      </c>
      <c r="AA216" s="70" t="s">
        <v>44</v>
      </c>
      <c r="AB216" s="70" t="s">
        <v>47</v>
      </c>
      <c r="AC216" s="199" t="s">
        <v>285</v>
      </c>
      <c r="AD216" s="291" t="s">
        <v>681</v>
      </c>
      <c r="AE216" s="96"/>
      <c r="AF216" s="71" t="s">
        <v>47</v>
      </c>
    </row>
    <row r="217" spans="1:32" s="70" customFormat="1">
      <c r="A217" s="70" t="s">
        <v>669</v>
      </c>
      <c r="B217" s="68">
        <v>45561</v>
      </c>
      <c r="C217" s="68">
        <v>45576</v>
      </c>
      <c r="D217" s="68">
        <v>45589</v>
      </c>
      <c r="E217" s="68">
        <v>45596</v>
      </c>
      <c r="F217" s="68">
        <v>45587</v>
      </c>
      <c r="I217" s="70">
        <v>350</v>
      </c>
      <c r="J217" s="69"/>
      <c r="K217" s="70">
        <v>525</v>
      </c>
      <c r="M217" s="70" t="s">
        <v>72</v>
      </c>
      <c r="N217" s="70" t="s">
        <v>473</v>
      </c>
      <c r="O217" s="70" t="s">
        <v>262</v>
      </c>
      <c r="P217" s="70" t="s">
        <v>682</v>
      </c>
      <c r="Q217" s="70" t="s">
        <v>37</v>
      </c>
      <c r="R217" s="70" t="s">
        <v>88</v>
      </c>
      <c r="U217" s="70" t="s">
        <v>683</v>
      </c>
      <c r="V217" s="70">
        <v>1</v>
      </c>
      <c r="W217" s="70" t="s">
        <v>53</v>
      </c>
      <c r="X217" s="70" t="s">
        <v>44</v>
      </c>
      <c r="Y217" s="70" t="s">
        <v>47</v>
      </c>
      <c r="Z217" s="70" t="s">
        <v>162</v>
      </c>
      <c r="AA217" s="70" t="s">
        <v>44</v>
      </c>
      <c r="AB217" s="70" t="s">
        <v>47</v>
      </c>
      <c r="AC217" s="70" t="s">
        <v>684</v>
      </c>
      <c r="AD217" s="291" t="s">
        <v>685</v>
      </c>
      <c r="AF217" s="71" t="s">
        <v>47</v>
      </c>
    </row>
    <row r="218" spans="1:32" s="70" customFormat="1">
      <c r="A218" s="70" t="s">
        <v>669</v>
      </c>
      <c r="B218" s="68">
        <v>45565</v>
      </c>
      <c r="C218" s="68">
        <v>45566</v>
      </c>
      <c r="D218" s="68">
        <v>45566</v>
      </c>
      <c r="E218" s="102">
        <v>45619</v>
      </c>
      <c r="F218" s="68">
        <v>45566</v>
      </c>
      <c r="H218" s="70">
        <v>250</v>
      </c>
      <c r="I218" s="70">
        <v>250</v>
      </c>
      <c r="J218" s="69">
        <f t="shared" ref="J218" si="29">+I218/H218</f>
        <v>1</v>
      </c>
      <c r="L218" s="69">
        <f t="shared" ref="L218" si="30">K218/H218</f>
        <v>0</v>
      </c>
      <c r="N218" s="70" t="s">
        <v>57</v>
      </c>
      <c r="O218" s="70" t="s">
        <v>423</v>
      </c>
      <c r="P218" s="70" t="s">
        <v>419</v>
      </c>
      <c r="Q218" s="70" t="s">
        <v>37</v>
      </c>
      <c r="R218" s="70" t="s">
        <v>38</v>
      </c>
      <c r="S218" s="97">
        <v>300</v>
      </c>
      <c r="T218" s="70" t="s">
        <v>52</v>
      </c>
      <c r="V218" s="70">
        <v>1</v>
      </c>
      <c r="W218" s="70" t="s">
        <v>53</v>
      </c>
      <c r="Y218" s="70" t="s">
        <v>44</v>
      </c>
      <c r="AA218" s="70" t="s">
        <v>44</v>
      </c>
      <c r="AB218" s="70" t="s">
        <v>47</v>
      </c>
      <c r="AC218" s="70" t="s">
        <v>686</v>
      </c>
      <c r="AD218" s="291" t="s">
        <v>431</v>
      </c>
      <c r="AF218" s="71" t="s">
        <v>47</v>
      </c>
    </row>
    <row r="219" spans="1:32" s="70" customFormat="1">
      <c r="B219" s="68"/>
      <c r="C219" s="68"/>
      <c r="D219" s="68"/>
      <c r="E219" s="102"/>
      <c r="F219" s="68"/>
      <c r="J219" s="69"/>
      <c r="L219" s="69"/>
      <c r="S219" s="97"/>
      <c r="AD219" s="291"/>
      <c r="AF219" s="71"/>
    </row>
    <row r="220" spans="1:32" s="70" customFormat="1">
      <c r="A220" s="70" t="s">
        <v>687</v>
      </c>
      <c r="B220" s="68">
        <v>45567</v>
      </c>
      <c r="C220" s="68">
        <v>45568</v>
      </c>
      <c r="D220" s="68">
        <v>45579</v>
      </c>
      <c r="E220" s="68">
        <v>45615</v>
      </c>
      <c r="F220" s="68">
        <v>45572</v>
      </c>
      <c r="H220" s="147">
        <v>50000</v>
      </c>
      <c r="I220" s="70">
        <v>2000</v>
      </c>
      <c r="J220" s="69">
        <v>4.0000000000000002E-4</v>
      </c>
      <c r="K220" s="146"/>
      <c r="L220" s="114"/>
      <c r="M220" s="70" t="s">
        <v>72</v>
      </c>
      <c r="N220" s="70" t="s">
        <v>136</v>
      </c>
      <c r="O220" s="70" t="s">
        <v>507</v>
      </c>
      <c r="P220" s="70" t="s">
        <v>688</v>
      </c>
      <c r="Q220" s="70" t="s">
        <v>37</v>
      </c>
      <c r="R220" s="70" t="s">
        <v>38</v>
      </c>
      <c r="S220" s="146">
        <v>100000</v>
      </c>
      <c r="T220" s="70" t="s">
        <v>77</v>
      </c>
      <c r="U220" s="66"/>
      <c r="W220" s="70" t="s">
        <v>53</v>
      </c>
      <c r="X220" s="70" t="s">
        <v>44</v>
      </c>
      <c r="Y220" s="70" t="s">
        <v>44</v>
      </c>
      <c r="Z220" s="70" t="s">
        <v>651</v>
      </c>
      <c r="AA220" s="70" t="s">
        <v>44</v>
      </c>
      <c r="AB220" s="70" t="s">
        <v>47</v>
      </c>
      <c r="AC220" s="70" t="s">
        <v>689</v>
      </c>
      <c r="AD220" s="291" t="s">
        <v>690</v>
      </c>
      <c r="AE220" s="96"/>
      <c r="AF220" s="71" t="s">
        <v>47</v>
      </c>
    </row>
    <row r="221" spans="1:32" s="107" customFormat="1">
      <c r="A221" s="107" t="s">
        <v>687</v>
      </c>
      <c r="B221" s="106">
        <v>45567</v>
      </c>
      <c r="C221" s="106">
        <v>45568</v>
      </c>
      <c r="D221" s="106">
        <v>45579</v>
      </c>
      <c r="E221" s="106">
        <v>45593</v>
      </c>
      <c r="F221" s="106">
        <v>45572</v>
      </c>
      <c r="H221" s="160">
        <v>800000</v>
      </c>
      <c r="I221" s="107">
        <v>100</v>
      </c>
      <c r="J221" s="108">
        <f>+I221/H221</f>
        <v>1.25E-4</v>
      </c>
      <c r="K221" s="109"/>
      <c r="L221" s="161"/>
      <c r="M221" s="107" t="s">
        <v>72</v>
      </c>
      <c r="N221" s="107" t="s">
        <v>136</v>
      </c>
      <c r="O221" s="107" t="s">
        <v>507</v>
      </c>
      <c r="P221" s="107" t="s">
        <v>691</v>
      </c>
      <c r="Q221" s="107" t="s">
        <v>37</v>
      </c>
      <c r="R221" s="107" t="s">
        <v>38</v>
      </c>
      <c r="S221" s="160">
        <v>800000</v>
      </c>
      <c r="T221" s="107" t="s">
        <v>77</v>
      </c>
      <c r="U221" s="162"/>
      <c r="W221" s="107" t="s">
        <v>53</v>
      </c>
      <c r="X221" s="107" t="s">
        <v>44</v>
      </c>
      <c r="Y221" s="107" t="s">
        <v>44</v>
      </c>
      <c r="Z221" s="107" t="s">
        <v>651</v>
      </c>
      <c r="AA221" s="107" t="s">
        <v>44</v>
      </c>
      <c r="AB221" s="107" t="s">
        <v>47</v>
      </c>
      <c r="AC221" s="107" t="s">
        <v>692</v>
      </c>
      <c r="AD221" s="297" t="s">
        <v>693</v>
      </c>
      <c r="AE221" s="105"/>
      <c r="AF221" s="130" t="s">
        <v>47</v>
      </c>
    </row>
    <row r="222" spans="1:32" s="107" customFormat="1">
      <c r="A222" s="107" t="s">
        <v>598</v>
      </c>
      <c r="B222" s="106"/>
      <c r="C222" s="106"/>
      <c r="D222" s="106"/>
      <c r="E222" s="106"/>
      <c r="F222" s="106"/>
      <c r="I222" s="107">
        <v>450</v>
      </c>
      <c r="M222" s="107" t="s">
        <v>72</v>
      </c>
      <c r="N222" s="107" t="s">
        <v>261</v>
      </c>
      <c r="O222" s="107" t="s">
        <v>86</v>
      </c>
      <c r="P222" s="107" t="s">
        <v>694</v>
      </c>
      <c r="Q222" s="107" t="s">
        <v>37</v>
      </c>
      <c r="U222" s="107" t="s">
        <v>695</v>
      </c>
      <c r="W222" s="107" t="s">
        <v>53</v>
      </c>
      <c r="X222" s="107" t="s">
        <v>44</v>
      </c>
      <c r="Y222" s="107" t="s">
        <v>44</v>
      </c>
      <c r="Z222" s="107" t="s">
        <v>696</v>
      </c>
      <c r="AA222" s="107" t="s">
        <v>44</v>
      </c>
      <c r="AB222" s="107" t="s">
        <v>44</v>
      </c>
      <c r="AC222" s="107" t="s">
        <v>697</v>
      </c>
      <c r="AD222" s="297" t="s">
        <v>698</v>
      </c>
      <c r="AF222" s="130" t="s">
        <v>47</v>
      </c>
    </row>
    <row r="223" spans="1:32" s="70" customFormat="1">
      <c r="A223" s="70" t="s">
        <v>687</v>
      </c>
      <c r="B223" s="68">
        <v>45573</v>
      </c>
      <c r="C223" s="68">
        <v>45575</v>
      </c>
      <c r="D223" s="102">
        <v>45587</v>
      </c>
      <c r="E223" s="68">
        <v>45595</v>
      </c>
      <c r="F223" s="68">
        <v>45580</v>
      </c>
      <c r="G223" s="68">
        <v>45589</v>
      </c>
      <c r="H223" s="70">
        <v>150000</v>
      </c>
      <c r="I223" s="70">
        <f t="shared" ref="I223:I224" si="31">H223*J223</f>
        <v>3750</v>
      </c>
      <c r="J223" s="70">
        <v>2.5000000000000001E-2</v>
      </c>
      <c r="M223" s="70" t="s">
        <v>72</v>
      </c>
      <c r="N223" s="70" t="s">
        <v>385</v>
      </c>
      <c r="O223" s="70" t="s">
        <v>670</v>
      </c>
      <c r="P223" s="70" t="s">
        <v>699</v>
      </c>
      <c r="Q223" s="70" t="s">
        <v>37</v>
      </c>
      <c r="R223" s="70" t="s">
        <v>38</v>
      </c>
      <c r="S223" s="97">
        <v>200000</v>
      </c>
      <c r="T223" s="70" t="s">
        <v>77</v>
      </c>
      <c r="W223" s="70" t="s">
        <v>53</v>
      </c>
      <c r="Z223" s="70" t="s">
        <v>162</v>
      </c>
      <c r="AA223" s="70" t="s">
        <v>44</v>
      </c>
      <c r="AB223" s="70" t="s">
        <v>47</v>
      </c>
      <c r="AC223" s="70" t="s">
        <v>700</v>
      </c>
      <c r="AD223" s="291" t="s">
        <v>701</v>
      </c>
      <c r="AF223" s="71" t="s">
        <v>47</v>
      </c>
    </row>
    <row r="224" spans="1:32" s="70" customFormat="1">
      <c r="A224" s="70" t="s">
        <v>687</v>
      </c>
      <c r="B224" s="68">
        <v>45573</v>
      </c>
      <c r="C224" s="68">
        <v>45575</v>
      </c>
      <c r="D224" s="102">
        <v>45587</v>
      </c>
      <c r="E224" s="68">
        <v>45595</v>
      </c>
      <c r="F224" s="68">
        <v>45580</v>
      </c>
      <c r="G224" s="68">
        <v>45589</v>
      </c>
      <c r="H224" s="70">
        <v>150000</v>
      </c>
      <c r="I224" s="70">
        <f t="shared" si="31"/>
        <v>3750</v>
      </c>
      <c r="J224" s="70">
        <v>2.5000000000000001E-2</v>
      </c>
      <c r="M224" s="70" t="s">
        <v>72</v>
      </c>
      <c r="N224" s="70" t="s">
        <v>385</v>
      </c>
      <c r="O224" s="70" t="s">
        <v>670</v>
      </c>
      <c r="P224" s="70" t="s">
        <v>702</v>
      </c>
      <c r="Q224" s="70" t="s">
        <v>37</v>
      </c>
      <c r="R224" s="70" t="s">
        <v>38</v>
      </c>
      <c r="S224" s="97">
        <v>200000</v>
      </c>
      <c r="T224" s="70" t="s">
        <v>77</v>
      </c>
      <c r="W224" s="70" t="s">
        <v>53</v>
      </c>
      <c r="Z224" s="70" t="s">
        <v>162</v>
      </c>
      <c r="AA224" s="70" t="s">
        <v>44</v>
      </c>
      <c r="AB224" s="70" t="s">
        <v>47</v>
      </c>
      <c r="AC224" s="70" t="s">
        <v>703</v>
      </c>
      <c r="AD224" s="291" t="s">
        <v>704</v>
      </c>
      <c r="AF224" s="71" t="s">
        <v>47</v>
      </c>
    </row>
    <row r="225" spans="1:32" s="70" customFormat="1">
      <c r="A225" s="70" t="s">
        <v>687</v>
      </c>
      <c r="B225" s="68">
        <v>45575</v>
      </c>
      <c r="C225" s="68">
        <v>45575</v>
      </c>
      <c r="D225" s="68">
        <v>45586</v>
      </c>
      <c r="E225" s="68">
        <v>45586</v>
      </c>
      <c r="F225" s="68">
        <v>45581</v>
      </c>
      <c r="G225" s="68">
        <v>45581</v>
      </c>
      <c r="H225" s="147">
        <v>1000000</v>
      </c>
      <c r="I225" s="70">
        <v>9000</v>
      </c>
      <c r="J225" s="69">
        <f>+I225/H225</f>
        <v>8.9999999999999993E-3</v>
      </c>
      <c r="K225" s="146"/>
      <c r="L225" s="114"/>
      <c r="M225" s="70" t="s">
        <v>72</v>
      </c>
      <c r="N225" s="70" t="s">
        <v>136</v>
      </c>
      <c r="O225" s="70" t="s">
        <v>507</v>
      </c>
      <c r="P225" s="70" t="s">
        <v>677</v>
      </c>
      <c r="Q225" s="70" t="s">
        <v>76</v>
      </c>
      <c r="R225" s="70" t="s">
        <v>88</v>
      </c>
      <c r="U225" s="157" t="s">
        <v>705</v>
      </c>
      <c r="V225" s="70" t="s">
        <v>271</v>
      </c>
      <c r="W225" s="70" t="s">
        <v>53</v>
      </c>
      <c r="X225" s="70" t="s">
        <v>44</v>
      </c>
      <c r="Y225" s="70" t="s">
        <v>44</v>
      </c>
      <c r="AA225" s="70" t="s">
        <v>44</v>
      </c>
      <c r="AB225" s="70" t="s">
        <v>47</v>
      </c>
      <c r="AC225" s="70" t="s">
        <v>706</v>
      </c>
      <c r="AD225" s="291" t="s">
        <v>707</v>
      </c>
      <c r="AE225" s="96"/>
      <c r="AF225" s="71" t="s">
        <v>47</v>
      </c>
    </row>
    <row r="226" spans="1:32" s="70" customFormat="1">
      <c r="A226" s="70" t="s">
        <v>687</v>
      </c>
      <c r="B226" s="68">
        <v>45582</v>
      </c>
      <c r="C226" s="68">
        <v>45589</v>
      </c>
      <c r="D226" s="68">
        <v>45593</v>
      </c>
      <c r="E226" s="68">
        <v>45621</v>
      </c>
      <c r="F226" s="68"/>
      <c r="H226" s="70">
        <v>10</v>
      </c>
      <c r="I226" s="70">
        <v>10</v>
      </c>
      <c r="J226" s="148">
        <v>1</v>
      </c>
      <c r="M226" s="70" t="s">
        <v>72</v>
      </c>
      <c r="N226" s="70" t="s">
        <v>268</v>
      </c>
      <c r="O226" s="70" t="s">
        <v>708</v>
      </c>
      <c r="P226" s="70" t="s">
        <v>709</v>
      </c>
      <c r="Q226" s="70" t="s">
        <v>37</v>
      </c>
      <c r="R226" s="70" t="s">
        <v>88</v>
      </c>
      <c r="S226" s="70">
        <v>10</v>
      </c>
      <c r="T226" s="70" t="s">
        <v>710</v>
      </c>
      <c r="U226" s="70" t="s">
        <v>711</v>
      </c>
      <c r="V226" s="70">
        <v>10</v>
      </c>
      <c r="W226" s="70" t="s">
        <v>53</v>
      </c>
      <c r="X226" s="70" t="s">
        <v>44</v>
      </c>
      <c r="Y226" s="70" t="s">
        <v>44</v>
      </c>
      <c r="Z226" s="70" t="s">
        <v>712</v>
      </c>
      <c r="AA226" s="70" t="s">
        <v>44</v>
      </c>
      <c r="AB226" s="70" t="s">
        <v>44</v>
      </c>
      <c r="AC226" s="70" t="s">
        <v>713</v>
      </c>
      <c r="AD226" s="291" t="s">
        <v>714</v>
      </c>
      <c r="AE226" s="70" t="s">
        <v>715</v>
      </c>
      <c r="AF226" s="71" t="s">
        <v>47</v>
      </c>
    </row>
    <row r="227" spans="1:32" s="70" customFormat="1">
      <c r="A227" s="70" t="s">
        <v>687</v>
      </c>
      <c r="B227" s="68">
        <v>45587</v>
      </c>
      <c r="C227" s="68">
        <v>45599</v>
      </c>
      <c r="D227" s="68">
        <v>45598</v>
      </c>
      <c r="E227" s="68">
        <v>45599</v>
      </c>
      <c r="F227" s="68">
        <v>45593</v>
      </c>
      <c r="G227" s="68">
        <v>45593</v>
      </c>
      <c r="H227" s="70">
        <v>167000</v>
      </c>
      <c r="I227" s="70">
        <f>H227*J227</f>
        <v>4175</v>
      </c>
      <c r="J227" s="70">
        <v>2.5000000000000001E-2</v>
      </c>
      <c r="M227" s="70" t="s">
        <v>72</v>
      </c>
      <c r="N227" s="70" t="s">
        <v>385</v>
      </c>
      <c r="O227" s="70" t="s">
        <v>670</v>
      </c>
      <c r="P227" s="70" t="s">
        <v>716</v>
      </c>
      <c r="Q227" s="70" t="s">
        <v>37</v>
      </c>
      <c r="R227" s="70" t="s">
        <v>38</v>
      </c>
      <c r="S227" s="70">
        <v>200000</v>
      </c>
      <c r="T227" s="70">
        <v>1</v>
      </c>
      <c r="W227" s="70" t="s">
        <v>53</v>
      </c>
      <c r="Y227" s="70" t="s">
        <v>44</v>
      </c>
      <c r="Z227" s="70" t="s">
        <v>712</v>
      </c>
      <c r="AA227" s="70" t="s">
        <v>44</v>
      </c>
      <c r="AB227" s="70" t="s">
        <v>47</v>
      </c>
      <c r="AC227" s="70" t="s">
        <v>717</v>
      </c>
      <c r="AD227" s="291" t="s">
        <v>718</v>
      </c>
      <c r="AF227" s="71" t="s">
        <v>47</v>
      </c>
    </row>
    <row r="228" spans="1:32" s="70" customFormat="1">
      <c r="A228" s="70" t="s">
        <v>687</v>
      </c>
      <c r="B228" s="68">
        <v>45589</v>
      </c>
      <c r="C228" s="68">
        <v>45589</v>
      </c>
      <c r="D228" s="102">
        <v>45597</v>
      </c>
      <c r="E228" s="68">
        <v>45626</v>
      </c>
      <c r="F228" s="68">
        <v>45593</v>
      </c>
      <c r="H228" s="70">
        <v>13000</v>
      </c>
      <c r="I228" s="66">
        <f>H228*J228</f>
        <v>650</v>
      </c>
      <c r="J228" s="70">
        <v>0.05</v>
      </c>
      <c r="M228" s="70" t="s">
        <v>72</v>
      </c>
      <c r="N228" s="70" t="s">
        <v>385</v>
      </c>
      <c r="O228" s="70" t="s">
        <v>670</v>
      </c>
      <c r="P228" s="70" t="s">
        <v>719</v>
      </c>
      <c r="Q228" s="70" t="s">
        <v>37</v>
      </c>
      <c r="R228" s="70" t="s">
        <v>38</v>
      </c>
      <c r="S228" s="70">
        <v>18000</v>
      </c>
      <c r="T228" s="70">
        <v>1</v>
      </c>
      <c r="W228" s="70" t="s">
        <v>53</v>
      </c>
      <c r="Z228" s="70" t="s">
        <v>162</v>
      </c>
      <c r="AA228" s="70" t="s">
        <v>44</v>
      </c>
      <c r="AB228" s="70" t="s">
        <v>47</v>
      </c>
      <c r="AC228" s="70" t="s">
        <v>720</v>
      </c>
      <c r="AD228" s="291" t="s">
        <v>721</v>
      </c>
      <c r="AF228" s="75" t="s">
        <v>47</v>
      </c>
    </row>
    <row r="229" spans="1:32" s="70" customFormat="1">
      <c r="A229" s="70" t="s">
        <v>687</v>
      </c>
      <c r="B229" s="68">
        <v>45589</v>
      </c>
      <c r="C229" s="68">
        <v>45589</v>
      </c>
      <c r="D229" s="102">
        <v>45597</v>
      </c>
      <c r="E229" s="68">
        <v>45626</v>
      </c>
      <c r="F229" s="68">
        <v>45593</v>
      </c>
      <c r="G229" s="68"/>
      <c r="H229" s="70">
        <v>13000</v>
      </c>
      <c r="I229" s="66">
        <f>H229*J229</f>
        <v>650</v>
      </c>
      <c r="J229" s="70">
        <v>0.05</v>
      </c>
      <c r="M229" s="70" t="s">
        <v>72</v>
      </c>
      <c r="N229" s="70" t="s">
        <v>385</v>
      </c>
      <c r="O229" s="70" t="s">
        <v>670</v>
      </c>
      <c r="P229" s="70" t="s">
        <v>722</v>
      </c>
      <c r="Q229" s="70" t="s">
        <v>37</v>
      </c>
      <c r="R229" s="70" t="s">
        <v>38</v>
      </c>
      <c r="S229" s="70">
        <v>18000</v>
      </c>
      <c r="T229" s="70">
        <v>1</v>
      </c>
      <c r="W229" s="70" t="s">
        <v>53</v>
      </c>
      <c r="Z229" s="70" t="s">
        <v>162</v>
      </c>
      <c r="AA229" s="70" t="s">
        <v>44</v>
      </c>
      <c r="AB229" s="70" t="s">
        <v>47</v>
      </c>
      <c r="AC229" s="70" t="s">
        <v>723</v>
      </c>
      <c r="AD229" s="291" t="s">
        <v>724</v>
      </c>
      <c r="AF229" s="75" t="s">
        <v>47</v>
      </c>
    </row>
    <row r="230" spans="1:32" s="85" customFormat="1">
      <c r="A230" s="85" t="s">
        <v>598</v>
      </c>
      <c r="B230" s="90">
        <v>45589</v>
      </c>
      <c r="C230" s="90">
        <v>45595</v>
      </c>
      <c r="D230" s="90">
        <v>45600</v>
      </c>
      <c r="E230" s="90">
        <v>45603</v>
      </c>
      <c r="F230" s="90">
        <v>45597</v>
      </c>
      <c r="I230" s="85">
        <v>300</v>
      </c>
      <c r="M230" s="85" t="s">
        <v>72</v>
      </c>
      <c r="N230" s="85" t="s">
        <v>473</v>
      </c>
      <c r="O230" s="85" t="s">
        <v>262</v>
      </c>
      <c r="P230" s="85" t="s">
        <v>725</v>
      </c>
      <c r="Q230" s="85" t="s">
        <v>76</v>
      </c>
      <c r="R230" s="85" t="s">
        <v>88</v>
      </c>
      <c r="U230" s="85" t="s">
        <v>726</v>
      </c>
      <c r="V230" s="85" t="s">
        <v>271</v>
      </c>
      <c r="W230" s="85" t="s">
        <v>53</v>
      </c>
      <c r="X230" s="85" t="s">
        <v>44</v>
      </c>
      <c r="Y230" s="85" t="s">
        <v>44</v>
      </c>
      <c r="Z230" s="85" t="s">
        <v>43</v>
      </c>
      <c r="AA230" s="85" t="s">
        <v>44</v>
      </c>
      <c r="AB230" s="85" t="s">
        <v>47</v>
      </c>
      <c r="AD230" s="293"/>
    </row>
    <row r="231" spans="1:32" s="70" customFormat="1">
      <c r="A231" s="70" t="s">
        <v>47</v>
      </c>
      <c r="B231" s="68">
        <v>45587</v>
      </c>
      <c r="C231" s="68">
        <v>45599</v>
      </c>
      <c r="D231" s="68">
        <v>45598</v>
      </c>
      <c r="E231" s="68">
        <v>45599</v>
      </c>
      <c r="F231" s="68">
        <v>45593</v>
      </c>
      <c r="G231" s="68">
        <v>45593</v>
      </c>
      <c r="H231" s="70">
        <v>100000</v>
      </c>
      <c r="I231" s="70">
        <f>H231*J231</f>
        <v>2500</v>
      </c>
      <c r="J231" s="70">
        <v>2.5000000000000001E-2</v>
      </c>
      <c r="M231" s="70" t="s">
        <v>72</v>
      </c>
      <c r="N231" s="70" t="s">
        <v>385</v>
      </c>
      <c r="O231" s="70" t="s">
        <v>670</v>
      </c>
      <c r="P231" s="70" t="s">
        <v>727</v>
      </c>
      <c r="Q231" s="70" t="s">
        <v>37</v>
      </c>
      <c r="R231" s="70" t="s">
        <v>38</v>
      </c>
      <c r="S231" s="70">
        <v>100000</v>
      </c>
      <c r="T231" s="70">
        <v>1</v>
      </c>
      <c r="W231" s="70" t="s">
        <v>53</v>
      </c>
      <c r="Y231" s="70" t="s">
        <v>44</v>
      </c>
      <c r="Z231" s="70" t="s">
        <v>712</v>
      </c>
      <c r="AA231" s="70" t="s">
        <v>44</v>
      </c>
      <c r="AB231" s="70" t="s">
        <v>47</v>
      </c>
      <c r="AC231" s="70" t="s">
        <v>728</v>
      </c>
      <c r="AD231" s="291" t="s">
        <v>718</v>
      </c>
      <c r="AF231" s="75" t="s">
        <v>47</v>
      </c>
    </row>
    <row r="232" spans="1:32" s="70" customFormat="1">
      <c r="A232" s="70" t="s">
        <v>687</v>
      </c>
      <c r="B232" s="68">
        <v>45589</v>
      </c>
      <c r="C232" s="68">
        <v>45594</v>
      </c>
      <c r="D232" s="68">
        <v>45597</v>
      </c>
      <c r="E232" s="68">
        <v>45611</v>
      </c>
      <c r="F232" s="68">
        <v>45596</v>
      </c>
      <c r="I232" s="70">
        <v>4500</v>
      </c>
      <c r="K232" s="70">
        <v>4392</v>
      </c>
      <c r="M232" s="70" t="s">
        <v>33</v>
      </c>
      <c r="N232" s="70" t="s">
        <v>473</v>
      </c>
      <c r="O232" s="70" t="s">
        <v>262</v>
      </c>
      <c r="P232" s="70" t="s">
        <v>729</v>
      </c>
      <c r="Q232" s="70" t="s">
        <v>37</v>
      </c>
      <c r="R232" s="70" t="s">
        <v>88</v>
      </c>
      <c r="U232" s="70" t="s">
        <v>730</v>
      </c>
      <c r="V232" s="70">
        <v>1</v>
      </c>
      <c r="W232" s="70" t="s">
        <v>53</v>
      </c>
      <c r="Y232" s="70" t="s">
        <v>47</v>
      </c>
      <c r="Z232" s="70" t="s">
        <v>162</v>
      </c>
      <c r="AA232" s="70" t="s">
        <v>44</v>
      </c>
      <c r="AB232" s="70" t="s">
        <v>47</v>
      </c>
      <c r="AC232" s="70" t="s">
        <v>731</v>
      </c>
      <c r="AD232" s="291" t="s">
        <v>732</v>
      </c>
      <c r="AF232" s="75" t="s">
        <v>47</v>
      </c>
    </row>
    <row r="233" spans="1:32" s="70" customFormat="1">
      <c r="A233" s="70" t="s">
        <v>687</v>
      </c>
      <c r="B233" s="68">
        <v>45589</v>
      </c>
      <c r="C233" s="68">
        <v>45597</v>
      </c>
      <c r="D233" s="68">
        <v>45607</v>
      </c>
      <c r="E233" s="68">
        <v>45607</v>
      </c>
      <c r="F233" s="68">
        <v>45602</v>
      </c>
      <c r="I233" s="70">
        <v>50</v>
      </c>
      <c r="K233" s="70">
        <v>28</v>
      </c>
      <c r="M233" s="70" t="s">
        <v>33</v>
      </c>
      <c r="N233" s="70" t="s">
        <v>473</v>
      </c>
      <c r="O233" s="70" t="s">
        <v>262</v>
      </c>
      <c r="P233" s="70" t="s">
        <v>733</v>
      </c>
      <c r="Q233" s="70" t="s">
        <v>37</v>
      </c>
      <c r="R233" s="70" t="s">
        <v>88</v>
      </c>
      <c r="U233" s="70" t="s">
        <v>734</v>
      </c>
      <c r="V233" s="70" t="s">
        <v>271</v>
      </c>
      <c r="W233" s="70" t="s">
        <v>53</v>
      </c>
      <c r="Y233" s="70" t="s">
        <v>44</v>
      </c>
      <c r="Z233" s="70" t="s">
        <v>735</v>
      </c>
      <c r="AA233" s="70" t="s">
        <v>44</v>
      </c>
      <c r="AB233" s="70" t="s">
        <v>47</v>
      </c>
      <c r="AC233" s="70" t="s">
        <v>736</v>
      </c>
      <c r="AD233" s="291" t="s">
        <v>737</v>
      </c>
      <c r="AF233" s="75" t="s">
        <v>47</v>
      </c>
    </row>
    <row r="234" spans="1:32" s="70" customFormat="1" ht="15">
      <c r="A234" s="70" t="s">
        <v>687</v>
      </c>
      <c r="B234" s="68">
        <v>45592</v>
      </c>
      <c r="C234" s="68">
        <v>45593</v>
      </c>
      <c r="D234" s="68">
        <v>45594</v>
      </c>
      <c r="E234" s="68">
        <v>45603</v>
      </c>
      <c r="F234" s="68">
        <v>45594</v>
      </c>
      <c r="I234" s="70">
        <v>150</v>
      </c>
      <c r="M234" s="70" t="s">
        <v>72</v>
      </c>
      <c r="N234" s="70" t="s">
        <v>261</v>
      </c>
      <c r="O234" s="70" t="s">
        <v>86</v>
      </c>
      <c r="P234" s="70" t="s">
        <v>738</v>
      </c>
      <c r="Q234" s="70" t="s">
        <v>76</v>
      </c>
      <c r="R234" s="70" t="s">
        <v>88</v>
      </c>
      <c r="U234" s="70" t="s">
        <v>695</v>
      </c>
      <c r="V234" s="70">
        <v>1</v>
      </c>
      <c r="W234" s="70" t="s">
        <v>53</v>
      </c>
      <c r="X234" s="70" t="s">
        <v>44</v>
      </c>
      <c r="Y234" s="70" t="s">
        <v>44</v>
      </c>
      <c r="Z234" s="70" t="s">
        <v>739</v>
      </c>
      <c r="AA234" s="70" t="s">
        <v>44</v>
      </c>
      <c r="AB234" s="70" t="s">
        <v>47</v>
      </c>
      <c r="AC234" s="70" t="s">
        <v>697</v>
      </c>
      <c r="AD234" s="291" t="s">
        <v>740</v>
      </c>
      <c r="AF234" s="75" t="s">
        <v>47</v>
      </c>
    </row>
    <row r="235" spans="1:32" s="107" customFormat="1" ht="15">
      <c r="A235" s="107" t="s">
        <v>687</v>
      </c>
      <c r="B235" s="106">
        <v>45592</v>
      </c>
      <c r="C235" s="106">
        <v>45593</v>
      </c>
      <c r="D235" s="106">
        <v>45600</v>
      </c>
      <c r="E235" s="106">
        <v>45603</v>
      </c>
      <c r="F235" s="106">
        <v>45600</v>
      </c>
      <c r="I235" s="107">
        <v>150</v>
      </c>
      <c r="M235" s="107" t="s">
        <v>72</v>
      </c>
      <c r="N235" s="107" t="s">
        <v>261</v>
      </c>
      <c r="O235" s="107" t="s">
        <v>86</v>
      </c>
      <c r="P235" s="107" t="s">
        <v>738</v>
      </c>
      <c r="Q235" s="107" t="s">
        <v>76</v>
      </c>
      <c r="R235" s="107" t="s">
        <v>88</v>
      </c>
      <c r="U235" s="107" t="s">
        <v>695</v>
      </c>
      <c r="V235" s="107">
        <v>1</v>
      </c>
      <c r="W235" s="107" t="s">
        <v>53</v>
      </c>
      <c r="X235" s="107" t="s">
        <v>44</v>
      </c>
      <c r="Y235" s="107" t="s">
        <v>44</v>
      </c>
      <c r="Z235" s="107" t="s">
        <v>739</v>
      </c>
      <c r="AA235" s="107" t="s">
        <v>44</v>
      </c>
      <c r="AB235" s="107" t="s">
        <v>47</v>
      </c>
      <c r="AC235" s="107" t="s">
        <v>741</v>
      </c>
      <c r="AD235" s="297" t="s">
        <v>742</v>
      </c>
      <c r="AF235" s="158" t="s">
        <v>47</v>
      </c>
    </row>
    <row r="236" spans="1:32" s="70" customFormat="1">
      <c r="A236" s="70" t="s">
        <v>47</v>
      </c>
      <c r="B236" s="68">
        <v>45597</v>
      </c>
      <c r="C236" s="68">
        <v>45597</v>
      </c>
      <c r="D236" s="68">
        <v>45608</v>
      </c>
      <c r="E236" s="68">
        <v>45608</v>
      </c>
      <c r="F236" s="68">
        <v>45607</v>
      </c>
      <c r="M236" s="70" t="s">
        <v>72</v>
      </c>
      <c r="N236" s="70" t="s">
        <v>136</v>
      </c>
      <c r="O236" s="70" t="s">
        <v>507</v>
      </c>
      <c r="P236" s="70" t="s">
        <v>743</v>
      </c>
      <c r="Q236" s="70" t="s">
        <v>76</v>
      </c>
      <c r="R236" s="70" t="s">
        <v>88</v>
      </c>
      <c r="U236" s="70" t="s">
        <v>744</v>
      </c>
      <c r="V236" s="70" t="s">
        <v>271</v>
      </c>
      <c r="W236" s="70" t="s">
        <v>53</v>
      </c>
      <c r="Y236" s="70" t="s">
        <v>44</v>
      </c>
      <c r="Z236" s="70" t="s">
        <v>745</v>
      </c>
      <c r="AA236" s="70" t="s">
        <v>44</v>
      </c>
      <c r="AB236" s="70" t="s">
        <v>47</v>
      </c>
      <c r="AC236" s="70" t="s">
        <v>746</v>
      </c>
      <c r="AD236" s="291" t="s">
        <v>747</v>
      </c>
      <c r="AF236" s="75" t="s">
        <v>47</v>
      </c>
    </row>
    <row r="237" spans="1:32" s="70" customFormat="1" ht="69.75" customHeight="1">
      <c r="A237" s="70" t="s">
        <v>748</v>
      </c>
      <c r="B237" s="68">
        <v>45600</v>
      </c>
      <c r="C237" s="68">
        <v>45601</v>
      </c>
      <c r="D237" s="68">
        <v>45608</v>
      </c>
      <c r="E237" s="68">
        <v>45611</v>
      </c>
      <c r="F237" s="68">
        <v>45603</v>
      </c>
      <c r="H237" s="147">
        <v>800000</v>
      </c>
      <c r="I237" s="70">
        <v>100</v>
      </c>
      <c r="J237" s="69">
        <f>+I237/H237</f>
        <v>1.25E-4</v>
      </c>
      <c r="K237" s="146"/>
      <c r="L237" s="114"/>
      <c r="M237" s="70" t="s">
        <v>72</v>
      </c>
      <c r="N237" s="70" t="s">
        <v>136</v>
      </c>
      <c r="O237" s="70" t="s">
        <v>749</v>
      </c>
      <c r="P237" s="96" t="s">
        <v>750</v>
      </c>
      <c r="Q237" s="70" t="s">
        <v>37</v>
      </c>
      <c r="R237" s="70" t="s">
        <v>38</v>
      </c>
      <c r="S237" s="147">
        <v>800000</v>
      </c>
      <c r="T237" s="70" t="s">
        <v>77</v>
      </c>
      <c r="U237" s="66"/>
      <c r="W237" s="70" t="s">
        <v>53</v>
      </c>
      <c r="X237" s="70" t="s">
        <v>44</v>
      </c>
      <c r="Y237" s="70" t="s">
        <v>44</v>
      </c>
      <c r="Z237" s="70" t="s">
        <v>651</v>
      </c>
      <c r="AA237" s="70" t="s">
        <v>44</v>
      </c>
      <c r="AB237" s="70" t="s">
        <v>47</v>
      </c>
      <c r="AC237" s="70" t="s">
        <v>751</v>
      </c>
      <c r="AD237" s="291" t="s">
        <v>752</v>
      </c>
      <c r="AE237" s="96"/>
      <c r="AF237" s="75" t="s">
        <v>47</v>
      </c>
    </row>
    <row r="238" spans="1:32" s="163" customFormat="1">
      <c r="A238" s="163" t="s">
        <v>753</v>
      </c>
      <c r="B238" s="164">
        <v>45601</v>
      </c>
      <c r="C238" s="164">
        <v>45603</v>
      </c>
      <c r="D238" s="164">
        <v>45604</v>
      </c>
      <c r="E238" s="164">
        <v>45609</v>
      </c>
      <c r="F238" s="164">
        <v>45604</v>
      </c>
      <c r="I238" s="163">
        <v>150</v>
      </c>
      <c r="M238" s="163" t="s">
        <v>72</v>
      </c>
      <c r="N238" s="163" t="s">
        <v>261</v>
      </c>
      <c r="O238" s="163" t="s">
        <v>86</v>
      </c>
      <c r="P238" s="163" t="s">
        <v>754</v>
      </c>
      <c r="Q238" s="163" t="s">
        <v>76</v>
      </c>
      <c r="R238" s="163" t="s">
        <v>88</v>
      </c>
      <c r="U238" s="163" t="s">
        <v>755</v>
      </c>
      <c r="W238" s="163" t="s">
        <v>53</v>
      </c>
      <c r="X238" s="163" t="s">
        <v>44</v>
      </c>
      <c r="Y238" s="163" t="s">
        <v>44</v>
      </c>
      <c r="Z238" s="163" t="s">
        <v>756</v>
      </c>
      <c r="AA238" s="163" t="s">
        <v>44</v>
      </c>
      <c r="AB238" s="163" t="s">
        <v>47</v>
      </c>
      <c r="AC238" s="163" t="s">
        <v>757</v>
      </c>
      <c r="AD238" s="299" t="s">
        <v>758</v>
      </c>
      <c r="AF238" s="165" t="s">
        <v>47</v>
      </c>
    </row>
    <row r="239" spans="1:32" s="70" customFormat="1">
      <c r="A239" s="70" t="s">
        <v>753</v>
      </c>
      <c r="B239" s="68">
        <v>45601</v>
      </c>
      <c r="C239" s="68">
        <v>45608</v>
      </c>
      <c r="D239" s="68">
        <v>45610</v>
      </c>
      <c r="E239" s="68">
        <v>45614</v>
      </c>
      <c r="F239" s="68">
        <v>45610</v>
      </c>
      <c r="I239" s="70">
        <v>150</v>
      </c>
      <c r="M239" s="70" t="s">
        <v>72</v>
      </c>
      <c r="N239" s="70" t="s">
        <v>261</v>
      </c>
      <c r="O239" s="70" t="s">
        <v>86</v>
      </c>
      <c r="P239" s="70" t="s">
        <v>759</v>
      </c>
      <c r="Q239" s="70" t="s">
        <v>76</v>
      </c>
      <c r="R239" s="70" t="s">
        <v>88</v>
      </c>
      <c r="U239" s="70" t="s">
        <v>760</v>
      </c>
      <c r="W239" s="70" t="s">
        <v>53</v>
      </c>
      <c r="X239" s="70" t="s">
        <v>44</v>
      </c>
      <c r="Y239" s="70" t="s">
        <v>44</v>
      </c>
      <c r="Z239" s="70" t="s">
        <v>761</v>
      </c>
      <c r="AA239" s="70" t="s">
        <v>44</v>
      </c>
      <c r="AB239" s="70" t="s">
        <v>47</v>
      </c>
      <c r="AD239" s="291"/>
      <c r="AF239" s="75" t="s">
        <v>47</v>
      </c>
    </row>
    <row r="240" spans="1:32" s="70" customFormat="1">
      <c r="A240" s="70" t="s">
        <v>753</v>
      </c>
      <c r="B240" s="68">
        <v>45601</v>
      </c>
      <c r="C240" s="68">
        <v>45622</v>
      </c>
      <c r="D240" s="166">
        <v>45630</v>
      </c>
      <c r="E240" s="68">
        <v>45637</v>
      </c>
      <c r="F240" s="68">
        <v>45630</v>
      </c>
      <c r="I240" s="70">
        <v>150</v>
      </c>
      <c r="M240" s="70" t="s">
        <v>72</v>
      </c>
      <c r="N240" s="70" t="s">
        <v>261</v>
      </c>
      <c r="O240" s="70" t="s">
        <v>86</v>
      </c>
      <c r="P240" s="70" t="s">
        <v>762</v>
      </c>
      <c r="Q240" s="70" t="s">
        <v>76</v>
      </c>
      <c r="R240" s="70" t="s">
        <v>88</v>
      </c>
      <c r="U240" s="70" t="s">
        <v>763</v>
      </c>
      <c r="W240" s="70" t="s">
        <v>53</v>
      </c>
      <c r="X240" s="70" t="s">
        <v>44</v>
      </c>
      <c r="Y240" s="70" t="s">
        <v>44</v>
      </c>
      <c r="Z240" s="70" t="s">
        <v>764</v>
      </c>
      <c r="AA240" s="70" t="s">
        <v>44</v>
      </c>
      <c r="AB240" s="70" t="s">
        <v>47</v>
      </c>
      <c r="AC240" s="70" t="s">
        <v>765</v>
      </c>
      <c r="AD240" s="291" t="s">
        <v>766</v>
      </c>
      <c r="AF240" s="75" t="s">
        <v>47</v>
      </c>
    </row>
    <row r="241" spans="1:32" s="85" customFormat="1">
      <c r="A241" s="85" t="s">
        <v>81</v>
      </c>
      <c r="B241" s="90">
        <v>45601</v>
      </c>
      <c r="C241" s="90">
        <v>45636</v>
      </c>
      <c r="D241" s="90">
        <v>45642</v>
      </c>
      <c r="E241" s="90">
        <v>45651</v>
      </c>
      <c r="F241" s="90">
        <v>45642</v>
      </c>
      <c r="I241" s="85">
        <v>150</v>
      </c>
      <c r="M241" s="85" t="s">
        <v>72</v>
      </c>
      <c r="N241" s="85" t="s">
        <v>261</v>
      </c>
      <c r="O241" s="85" t="s">
        <v>86</v>
      </c>
      <c r="P241" s="85" t="s">
        <v>767</v>
      </c>
      <c r="Q241" s="85" t="s">
        <v>76</v>
      </c>
      <c r="R241" s="85" t="s">
        <v>88</v>
      </c>
      <c r="U241" s="85" t="s">
        <v>768</v>
      </c>
      <c r="W241" s="85" t="s">
        <v>53</v>
      </c>
      <c r="X241" s="85" t="s">
        <v>44</v>
      </c>
      <c r="Y241" s="85" t="s">
        <v>44</v>
      </c>
      <c r="Z241" s="85" t="s">
        <v>769</v>
      </c>
      <c r="AA241" s="85" t="s">
        <v>44</v>
      </c>
      <c r="AB241" s="85" t="s">
        <v>47</v>
      </c>
      <c r="AD241" s="293"/>
    </row>
    <row r="242" spans="1:32" s="70" customFormat="1">
      <c r="A242" s="70" t="s">
        <v>753</v>
      </c>
      <c r="B242" s="68">
        <v>45601</v>
      </c>
      <c r="C242" s="68">
        <v>45608</v>
      </c>
      <c r="D242" s="68">
        <v>45610</v>
      </c>
      <c r="E242" s="68">
        <v>45614</v>
      </c>
      <c r="F242" s="68">
        <v>45610</v>
      </c>
      <c r="I242" s="70">
        <v>150</v>
      </c>
      <c r="M242" s="70" t="s">
        <v>72</v>
      </c>
      <c r="N242" s="70" t="s">
        <v>261</v>
      </c>
      <c r="O242" s="70" t="s">
        <v>86</v>
      </c>
      <c r="P242" s="70" t="s">
        <v>759</v>
      </c>
      <c r="Q242" s="70" t="s">
        <v>76</v>
      </c>
      <c r="R242" s="70" t="s">
        <v>88</v>
      </c>
      <c r="U242" s="70" t="s">
        <v>760</v>
      </c>
      <c r="W242" s="70" t="s">
        <v>53</v>
      </c>
      <c r="X242" s="70" t="s">
        <v>44</v>
      </c>
      <c r="Y242" s="70" t="s">
        <v>44</v>
      </c>
      <c r="Z242" s="70" t="s">
        <v>761</v>
      </c>
      <c r="AA242" s="70" t="s">
        <v>44</v>
      </c>
      <c r="AB242" s="70" t="s">
        <v>47</v>
      </c>
      <c r="AC242" s="70" t="s">
        <v>770</v>
      </c>
      <c r="AD242" s="291" t="s">
        <v>771</v>
      </c>
      <c r="AF242" s="75" t="s">
        <v>47</v>
      </c>
    </row>
    <row r="243" spans="1:32" s="107" customFormat="1">
      <c r="A243" s="107" t="s">
        <v>598</v>
      </c>
      <c r="B243" s="106">
        <v>45601</v>
      </c>
      <c r="C243" s="106">
        <v>45603</v>
      </c>
      <c r="D243" s="106">
        <v>45612</v>
      </c>
      <c r="E243" s="106">
        <v>45629</v>
      </c>
      <c r="F243" s="106">
        <v>45609</v>
      </c>
      <c r="M243" s="107" t="s">
        <v>72</v>
      </c>
      <c r="N243" s="107" t="s">
        <v>136</v>
      </c>
      <c r="O243" s="107" t="s">
        <v>74</v>
      </c>
      <c r="P243" s="105" t="s">
        <v>772</v>
      </c>
      <c r="Q243" s="107" t="s">
        <v>37</v>
      </c>
      <c r="R243" s="107" t="s">
        <v>88</v>
      </c>
      <c r="U243" s="107" t="s">
        <v>773</v>
      </c>
      <c r="W243" s="107" t="s">
        <v>53</v>
      </c>
      <c r="X243" s="107" t="s">
        <v>44</v>
      </c>
      <c r="Y243" s="107" t="s">
        <v>44</v>
      </c>
      <c r="Z243" s="107" t="s">
        <v>774</v>
      </c>
      <c r="AA243" s="107" t="s">
        <v>47</v>
      </c>
      <c r="AB243" s="107" t="s">
        <v>47</v>
      </c>
      <c r="AC243" s="107" t="s">
        <v>775</v>
      </c>
      <c r="AD243" s="297" t="s">
        <v>776</v>
      </c>
      <c r="AF243" s="158" t="s">
        <v>47</v>
      </c>
    </row>
    <row r="244" spans="1:32" s="107" customFormat="1">
      <c r="A244" s="107" t="s">
        <v>598</v>
      </c>
      <c r="B244" s="106">
        <v>45601</v>
      </c>
      <c r="C244" s="106">
        <v>45603</v>
      </c>
      <c r="D244" s="106">
        <v>45612</v>
      </c>
      <c r="E244" s="106">
        <v>45629</v>
      </c>
      <c r="F244" s="106">
        <v>45609</v>
      </c>
      <c r="M244" s="107" t="s">
        <v>72</v>
      </c>
      <c r="N244" s="107" t="s">
        <v>136</v>
      </c>
      <c r="O244" s="107" t="s">
        <v>74</v>
      </c>
      <c r="P244" s="105" t="s">
        <v>777</v>
      </c>
      <c r="Q244" s="107" t="s">
        <v>37</v>
      </c>
      <c r="R244" s="107" t="s">
        <v>38</v>
      </c>
      <c r="S244" s="109">
        <v>600000</v>
      </c>
      <c r="W244" s="107" t="s">
        <v>53</v>
      </c>
      <c r="X244" s="107" t="s">
        <v>44</v>
      </c>
      <c r="Y244" s="107" t="s">
        <v>44</v>
      </c>
      <c r="Z244" s="107" t="s">
        <v>774</v>
      </c>
      <c r="AA244" s="107" t="s">
        <v>47</v>
      </c>
      <c r="AB244" s="107" t="s">
        <v>47</v>
      </c>
      <c r="AC244" s="107" t="s">
        <v>778</v>
      </c>
      <c r="AD244" s="297" t="s">
        <v>779</v>
      </c>
      <c r="AF244" s="158" t="s">
        <v>47</v>
      </c>
    </row>
    <row r="245" spans="1:32" s="70" customFormat="1">
      <c r="A245" s="70" t="s">
        <v>47</v>
      </c>
      <c r="B245" s="68">
        <v>45607</v>
      </c>
      <c r="C245" s="68">
        <v>45610</v>
      </c>
      <c r="D245" s="68">
        <v>45628</v>
      </c>
      <c r="E245" s="68">
        <v>45629</v>
      </c>
      <c r="F245" s="68"/>
      <c r="H245" s="147">
        <v>1000000</v>
      </c>
      <c r="I245" s="70">
        <v>3500</v>
      </c>
      <c r="J245" s="69">
        <f>+I245/H245</f>
        <v>3.5000000000000001E-3</v>
      </c>
      <c r="K245" s="146"/>
      <c r="L245" s="114"/>
      <c r="M245" s="70" t="s">
        <v>72</v>
      </c>
      <c r="N245" s="70" t="s">
        <v>136</v>
      </c>
      <c r="O245" s="70" t="s">
        <v>507</v>
      </c>
      <c r="P245" s="70" t="s">
        <v>605</v>
      </c>
      <c r="Q245" s="70" t="s">
        <v>76</v>
      </c>
      <c r="R245" s="70" t="s">
        <v>88</v>
      </c>
      <c r="U245" s="66" t="s">
        <v>780</v>
      </c>
      <c r="V245" s="70" t="s">
        <v>271</v>
      </c>
      <c r="W245" s="70" t="s">
        <v>53</v>
      </c>
      <c r="X245" s="70" t="s">
        <v>44</v>
      </c>
      <c r="Y245" s="70" t="s">
        <v>44</v>
      </c>
      <c r="Z245" s="70" t="s">
        <v>454</v>
      </c>
      <c r="AA245" s="70" t="s">
        <v>44</v>
      </c>
      <c r="AB245" s="70" t="s">
        <v>47</v>
      </c>
      <c r="AC245" s="70" t="s">
        <v>781</v>
      </c>
      <c r="AD245" s="291" t="s">
        <v>782</v>
      </c>
      <c r="AE245" s="96"/>
      <c r="AF245" s="75" t="s">
        <v>47</v>
      </c>
    </row>
    <row r="246" spans="1:32" s="70" customFormat="1" ht="15">
      <c r="A246" s="70" t="s">
        <v>783</v>
      </c>
      <c r="B246" s="68">
        <v>45617</v>
      </c>
      <c r="C246" s="68">
        <v>45617</v>
      </c>
      <c r="D246" s="102">
        <v>45621</v>
      </c>
      <c r="E246" s="68">
        <v>45637</v>
      </c>
      <c r="F246" s="68">
        <v>45618</v>
      </c>
      <c r="I246" s="70">
        <v>2500</v>
      </c>
      <c r="M246" s="70" t="s">
        <v>72</v>
      </c>
      <c r="N246" s="70" t="s">
        <v>268</v>
      </c>
      <c r="O246" s="70" t="s">
        <v>262</v>
      </c>
      <c r="P246" s="70" t="s">
        <v>784</v>
      </c>
      <c r="Q246" s="70" t="s">
        <v>76</v>
      </c>
      <c r="R246" s="70" t="s">
        <v>88</v>
      </c>
      <c r="U246" s="70" t="s">
        <v>785</v>
      </c>
      <c r="V246" s="70" t="s">
        <v>271</v>
      </c>
      <c r="W246" s="70" t="s">
        <v>53</v>
      </c>
      <c r="X246" s="70" t="s">
        <v>44</v>
      </c>
      <c r="Y246" s="70" t="s">
        <v>44</v>
      </c>
      <c r="Z246" s="70" t="s">
        <v>786</v>
      </c>
      <c r="AA246" s="70" t="s">
        <v>44</v>
      </c>
      <c r="AB246" s="70" t="s">
        <v>47</v>
      </c>
      <c r="AC246" s="70" t="s">
        <v>787</v>
      </c>
      <c r="AD246" s="291" t="s">
        <v>788</v>
      </c>
      <c r="AE246" s="70" t="s">
        <v>789</v>
      </c>
      <c r="AF246" s="75" t="s">
        <v>47</v>
      </c>
    </row>
    <row r="247" spans="1:32" s="70" customFormat="1">
      <c r="A247" s="70" t="s">
        <v>790</v>
      </c>
      <c r="B247" s="68">
        <v>45615</v>
      </c>
      <c r="C247" s="68">
        <v>45621</v>
      </c>
      <c r="D247" s="68">
        <v>45630</v>
      </c>
      <c r="E247" s="68">
        <v>45651</v>
      </c>
      <c r="F247" s="68">
        <v>45623</v>
      </c>
      <c r="M247" s="70" t="s">
        <v>33</v>
      </c>
      <c r="N247" s="70" t="s">
        <v>791</v>
      </c>
      <c r="O247" s="70" t="s">
        <v>708</v>
      </c>
      <c r="P247" s="70" t="s">
        <v>792</v>
      </c>
      <c r="Q247" s="70" t="s">
        <v>37</v>
      </c>
      <c r="R247" s="70" t="s">
        <v>88</v>
      </c>
      <c r="U247" s="70" t="s">
        <v>793</v>
      </c>
      <c r="V247" s="70" t="s">
        <v>794</v>
      </c>
      <c r="W247" s="70" t="s">
        <v>53</v>
      </c>
      <c r="X247" s="70" t="s">
        <v>44</v>
      </c>
      <c r="Y247" s="70" t="s">
        <v>44</v>
      </c>
      <c r="Z247" s="70" t="s">
        <v>162</v>
      </c>
      <c r="AA247" s="70" t="s">
        <v>44</v>
      </c>
      <c r="AB247" s="70" t="s">
        <v>47</v>
      </c>
      <c r="AC247" s="70" t="s">
        <v>795</v>
      </c>
      <c r="AD247" s="291" t="s">
        <v>796</v>
      </c>
      <c r="AF247" s="75" t="s">
        <v>47</v>
      </c>
    </row>
    <row r="248" spans="1:32" s="70" customFormat="1">
      <c r="A248" s="70" t="s">
        <v>790</v>
      </c>
      <c r="B248" s="68">
        <v>45621</v>
      </c>
      <c r="C248" s="68">
        <v>45622</v>
      </c>
      <c r="D248" s="68">
        <v>45630</v>
      </c>
      <c r="E248" s="68">
        <v>45651</v>
      </c>
      <c r="F248" s="68">
        <v>45623</v>
      </c>
      <c r="M248" s="70" t="s">
        <v>33</v>
      </c>
      <c r="N248" s="70" t="s">
        <v>791</v>
      </c>
      <c r="O248" s="70" t="s">
        <v>708</v>
      </c>
      <c r="P248" s="70" t="s">
        <v>797</v>
      </c>
      <c r="Q248" s="70" t="s">
        <v>37</v>
      </c>
      <c r="R248" s="70" t="s">
        <v>88</v>
      </c>
      <c r="U248" s="70" t="s">
        <v>798</v>
      </c>
      <c r="V248" s="70" t="s">
        <v>794</v>
      </c>
      <c r="W248" s="70" t="s">
        <v>53</v>
      </c>
      <c r="X248" s="70" t="s">
        <v>44</v>
      </c>
      <c r="Y248" s="70" t="s">
        <v>44</v>
      </c>
      <c r="Z248" s="70" t="s">
        <v>162</v>
      </c>
      <c r="AA248" s="70" t="s">
        <v>44</v>
      </c>
      <c r="AB248" s="70" t="s">
        <v>47</v>
      </c>
      <c r="AC248" s="70" t="s">
        <v>799</v>
      </c>
      <c r="AD248" s="291" t="s">
        <v>800</v>
      </c>
      <c r="AF248" s="75" t="s">
        <v>47</v>
      </c>
    </row>
    <row r="249" spans="1:32" s="70" customFormat="1">
      <c r="A249" s="70" t="s">
        <v>410</v>
      </c>
      <c r="B249" s="68">
        <v>45622</v>
      </c>
      <c r="C249" s="68">
        <v>45623</v>
      </c>
      <c r="D249" s="68">
        <v>45599</v>
      </c>
      <c r="E249" s="68">
        <v>45710</v>
      </c>
      <c r="F249" s="68">
        <v>45629</v>
      </c>
      <c r="H249" s="70">
        <v>250</v>
      </c>
      <c r="I249" s="70">
        <v>250</v>
      </c>
      <c r="J249" s="69">
        <f>+I249/H249</f>
        <v>1</v>
      </c>
      <c r="L249" s="69">
        <f>K249/H249</f>
        <v>0</v>
      </c>
      <c r="N249" s="70" t="s">
        <v>57</v>
      </c>
      <c r="O249" s="70" t="s">
        <v>434</v>
      </c>
      <c r="P249" s="70" t="s">
        <v>419</v>
      </c>
      <c r="Q249" s="70" t="s">
        <v>37</v>
      </c>
      <c r="R249" s="70" t="s">
        <v>38</v>
      </c>
      <c r="S249" s="97">
        <v>300</v>
      </c>
      <c r="T249" s="70" t="s">
        <v>52</v>
      </c>
      <c r="V249" s="70">
        <v>1</v>
      </c>
      <c r="W249" s="70" t="s">
        <v>53</v>
      </c>
      <c r="Y249" s="70" t="s">
        <v>44</v>
      </c>
      <c r="AA249" s="70" t="s">
        <v>44</v>
      </c>
      <c r="AB249" s="70" t="s">
        <v>47</v>
      </c>
      <c r="AC249" s="70" t="s">
        <v>801</v>
      </c>
      <c r="AD249" s="291" t="s">
        <v>802</v>
      </c>
      <c r="AF249" s="75" t="s">
        <v>47</v>
      </c>
    </row>
    <row r="250" spans="1:32" s="70" customFormat="1">
      <c r="A250" s="70" t="s">
        <v>803</v>
      </c>
      <c r="B250" s="68">
        <v>45629</v>
      </c>
      <c r="C250" s="68">
        <v>45631</v>
      </c>
      <c r="D250" s="68">
        <v>45632</v>
      </c>
      <c r="E250" s="68">
        <v>45682</v>
      </c>
      <c r="F250" s="68">
        <v>45632</v>
      </c>
      <c r="H250" s="70">
        <v>15000</v>
      </c>
      <c r="I250" s="70">
        <v>40</v>
      </c>
      <c r="J250" s="114">
        <v>2.5000000000000001E-3</v>
      </c>
      <c r="M250" s="70" t="s">
        <v>72</v>
      </c>
      <c r="N250" s="70" t="s">
        <v>261</v>
      </c>
      <c r="O250" s="70" t="s">
        <v>496</v>
      </c>
      <c r="P250" s="70" t="s">
        <v>497</v>
      </c>
      <c r="Q250" s="70" t="s">
        <v>37</v>
      </c>
      <c r="R250" s="70" t="s">
        <v>38</v>
      </c>
      <c r="S250" s="70">
        <v>15000</v>
      </c>
      <c r="T250" s="70" t="s">
        <v>77</v>
      </c>
      <c r="W250" s="70" t="s">
        <v>53</v>
      </c>
      <c r="X250" s="70" t="s">
        <v>44</v>
      </c>
      <c r="Y250" s="70" t="s">
        <v>47</v>
      </c>
      <c r="Z250" s="70" t="s">
        <v>162</v>
      </c>
      <c r="AA250" s="70" t="s">
        <v>44</v>
      </c>
      <c r="AB250" s="70" t="s">
        <v>47</v>
      </c>
      <c r="AC250" s="70" t="s">
        <v>804</v>
      </c>
      <c r="AD250" s="291" t="s">
        <v>805</v>
      </c>
      <c r="AF250" s="75" t="s">
        <v>47</v>
      </c>
    </row>
    <row r="251" spans="1:32" s="70" customFormat="1" ht="29.1">
      <c r="A251" s="70" t="s">
        <v>803</v>
      </c>
      <c r="B251" s="68">
        <v>45629</v>
      </c>
      <c r="C251" s="68">
        <v>45631</v>
      </c>
      <c r="D251" s="68">
        <v>45632</v>
      </c>
      <c r="E251" s="68">
        <v>45682</v>
      </c>
      <c r="F251" s="68">
        <v>45632</v>
      </c>
      <c r="H251" s="70">
        <v>15000</v>
      </c>
      <c r="I251" s="70">
        <v>60</v>
      </c>
      <c r="J251" s="114">
        <v>4.0000000000000001E-3</v>
      </c>
      <c r="M251" s="70" t="s">
        <v>72</v>
      </c>
      <c r="N251" s="70" t="s">
        <v>261</v>
      </c>
      <c r="O251" s="70" t="s">
        <v>496</v>
      </c>
      <c r="P251" s="70" t="s">
        <v>500</v>
      </c>
      <c r="Q251" s="70" t="s">
        <v>37</v>
      </c>
      <c r="R251" s="70" t="s">
        <v>38</v>
      </c>
      <c r="S251" s="70">
        <v>15000</v>
      </c>
      <c r="T251" s="70" t="s">
        <v>77</v>
      </c>
      <c r="W251" s="70" t="s">
        <v>53</v>
      </c>
      <c r="X251" s="70" t="s">
        <v>44</v>
      </c>
      <c r="Y251" s="70" t="s">
        <v>44</v>
      </c>
      <c r="Z251" s="70" t="s">
        <v>162</v>
      </c>
      <c r="AA251" s="70" t="s">
        <v>44</v>
      </c>
      <c r="AB251" s="70" t="s">
        <v>47</v>
      </c>
      <c r="AC251" s="70" t="s">
        <v>806</v>
      </c>
      <c r="AD251" s="291" t="s">
        <v>807</v>
      </c>
      <c r="AE251" s="96" t="s">
        <v>808</v>
      </c>
      <c r="AF251" s="75" t="s">
        <v>47</v>
      </c>
    </row>
    <row r="252" spans="1:32" s="70" customFormat="1">
      <c r="A252" s="66" t="s">
        <v>803</v>
      </c>
      <c r="B252" s="68">
        <v>45635</v>
      </c>
      <c r="C252" s="68">
        <v>45637</v>
      </c>
      <c r="D252" s="68">
        <v>45637</v>
      </c>
      <c r="E252" s="68">
        <v>45838</v>
      </c>
      <c r="F252" s="68">
        <v>45637</v>
      </c>
      <c r="N252" s="70" t="s">
        <v>126</v>
      </c>
      <c r="O252" s="70" t="s">
        <v>74</v>
      </c>
      <c r="P252" s="70" t="s">
        <v>809</v>
      </c>
      <c r="Q252" s="70" t="s">
        <v>37</v>
      </c>
      <c r="R252" s="70" t="s">
        <v>38</v>
      </c>
      <c r="S252" s="97">
        <v>500000</v>
      </c>
      <c r="T252" s="70" t="s">
        <v>77</v>
      </c>
      <c r="W252" s="70" t="s">
        <v>53</v>
      </c>
      <c r="X252" s="70" t="s">
        <v>44</v>
      </c>
      <c r="Y252" s="70" t="s">
        <v>47</v>
      </c>
      <c r="Z252" s="70" t="s">
        <v>162</v>
      </c>
      <c r="AA252" s="70" t="s">
        <v>44</v>
      </c>
      <c r="AB252" s="70" t="s">
        <v>47</v>
      </c>
      <c r="AC252" s="70" t="s">
        <v>810</v>
      </c>
      <c r="AD252" s="291" t="s">
        <v>129</v>
      </c>
    </row>
    <row r="253" spans="1:32" s="70" customFormat="1">
      <c r="A253" s="66" t="s">
        <v>803</v>
      </c>
      <c r="B253" s="68">
        <v>45638</v>
      </c>
      <c r="C253" s="68">
        <v>45671</v>
      </c>
      <c r="D253" s="102">
        <v>45678</v>
      </c>
      <c r="E253" s="102">
        <v>45684</v>
      </c>
      <c r="F253" s="68">
        <v>45673</v>
      </c>
      <c r="I253" s="70">
        <v>400</v>
      </c>
      <c r="K253" s="70">
        <v>95</v>
      </c>
      <c r="M253" s="70" t="s">
        <v>72</v>
      </c>
      <c r="N253" s="70" t="s">
        <v>473</v>
      </c>
      <c r="O253" s="70" t="s">
        <v>262</v>
      </c>
      <c r="P253" s="70" t="s">
        <v>811</v>
      </c>
      <c r="Q253" s="70" t="s">
        <v>37</v>
      </c>
      <c r="R253" s="70" t="s">
        <v>88</v>
      </c>
      <c r="U253" s="70" t="s">
        <v>683</v>
      </c>
      <c r="V253" s="70">
        <v>1</v>
      </c>
      <c r="W253" s="70" t="s">
        <v>53</v>
      </c>
      <c r="X253" s="70" t="s">
        <v>44</v>
      </c>
      <c r="Y253" s="70" t="s">
        <v>47</v>
      </c>
      <c r="Z253" s="70" t="s">
        <v>579</v>
      </c>
      <c r="AA253" s="70" t="s">
        <v>44</v>
      </c>
      <c r="AB253" s="70" t="s">
        <v>47</v>
      </c>
      <c r="AC253" s="70" t="s">
        <v>684</v>
      </c>
      <c r="AD253" s="291"/>
    </row>
    <row r="254" spans="1:32" s="70" customFormat="1" ht="43.5">
      <c r="A254" s="96" t="s">
        <v>812</v>
      </c>
      <c r="B254" s="68">
        <v>45642</v>
      </c>
      <c r="C254" s="68">
        <v>45643</v>
      </c>
      <c r="D254" s="68">
        <v>45643</v>
      </c>
      <c r="E254" s="68">
        <v>46008</v>
      </c>
      <c r="F254" s="68">
        <v>45643</v>
      </c>
      <c r="N254" s="70" t="s">
        <v>126</v>
      </c>
      <c r="O254" s="70" t="s">
        <v>74</v>
      </c>
      <c r="P254" s="70" t="s">
        <v>813</v>
      </c>
      <c r="Q254" s="70" t="s">
        <v>37</v>
      </c>
      <c r="R254" s="70" t="s">
        <v>38</v>
      </c>
      <c r="S254" s="97">
        <v>900000</v>
      </c>
      <c r="T254" s="70" t="s">
        <v>77</v>
      </c>
      <c r="W254" s="70" t="s">
        <v>53</v>
      </c>
      <c r="X254" s="70" t="s">
        <v>44</v>
      </c>
      <c r="Y254" s="70" t="s">
        <v>47</v>
      </c>
      <c r="Z254" s="70" t="s">
        <v>579</v>
      </c>
      <c r="AA254" s="70" t="s">
        <v>44</v>
      </c>
      <c r="AB254" s="70" t="s">
        <v>47</v>
      </c>
      <c r="AC254" s="96" t="s">
        <v>814</v>
      </c>
      <c r="AD254" s="291" t="s">
        <v>129</v>
      </c>
      <c r="AE254" s="96" t="s">
        <v>815</v>
      </c>
      <c r="AF254" s="75" t="s">
        <v>47</v>
      </c>
    </row>
    <row r="255" spans="1:32" s="70" customFormat="1">
      <c r="A255" s="70" t="s">
        <v>816</v>
      </c>
      <c r="B255" s="68">
        <v>45659</v>
      </c>
      <c r="C255" s="68">
        <v>45664</v>
      </c>
      <c r="D255" s="68">
        <v>45675</v>
      </c>
      <c r="E255" s="68">
        <v>45677</v>
      </c>
      <c r="F255" s="68">
        <v>45670</v>
      </c>
      <c r="G255" s="68"/>
      <c r="H255" s="147">
        <v>1000000</v>
      </c>
      <c r="I255" s="70">
        <v>25000</v>
      </c>
      <c r="J255" s="69">
        <v>0.02</v>
      </c>
      <c r="K255" s="146"/>
      <c r="L255" s="114"/>
      <c r="M255" s="70" t="s">
        <v>72</v>
      </c>
      <c r="N255" s="70" t="s">
        <v>136</v>
      </c>
      <c r="O255" s="70" t="s">
        <v>507</v>
      </c>
      <c r="P255" s="70" t="s">
        <v>817</v>
      </c>
      <c r="Q255" s="70" t="s">
        <v>37</v>
      </c>
      <c r="R255" s="70" t="s">
        <v>88</v>
      </c>
      <c r="U255" s="157" t="s">
        <v>818</v>
      </c>
      <c r="V255" s="70" t="s">
        <v>271</v>
      </c>
      <c r="W255" s="70" t="s">
        <v>53</v>
      </c>
      <c r="X255" s="70" t="s">
        <v>44</v>
      </c>
      <c r="Y255" s="70" t="s">
        <v>44</v>
      </c>
      <c r="Z255" s="70" t="s">
        <v>43</v>
      </c>
      <c r="AA255" s="70" t="s">
        <v>44</v>
      </c>
      <c r="AB255" s="70" t="s">
        <v>47</v>
      </c>
      <c r="AC255" s="174" t="s">
        <v>819</v>
      </c>
      <c r="AD255" s="291" t="s">
        <v>820</v>
      </c>
      <c r="AE255" s="96"/>
      <c r="AF255" s="75" t="s">
        <v>47</v>
      </c>
    </row>
    <row r="256" spans="1:32" s="70" customFormat="1">
      <c r="A256" s="70" t="s">
        <v>816</v>
      </c>
      <c r="B256" s="68">
        <v>45659</v>
      </c>
      <c r="C256" s="68">
        <v>45667</v>
      </c>
      <c r="D256" s="68">
        <v>45659</v>
      </c>
      <c r="E256" s="68">
        <v>45801</v>
      </c>
      <c r="F256" s="68">
        <v>45681</v>
      </c>
      <c r="G256" s="68"/>
      <c r="H256" s="70">
        <v>250</v>
      </c>
      <c r="I256" s="70">
        <v>250</v>
      </c>
      <c r="J256" s="69">
        <f t="shared" ref="J256:J304" si="32">+I256/H256</f>
        <v>1</v>
      </c>
      <c r="L256" s="69">
        <f t="shared" ref="L256:L304" si="33">K256/H256</f>
        <v>0</v>
      </c>
      <c r="N256" s="70" t="s">
        <v>57</v>
      </c>
      <c r="O256" s="70" t="s">
        <v>821</v>
      </c>
      <c r="P256" s="70" t="s">
        <v>59</v>
      </c>
      <c r="Q256" s="70" t="s">
        <v>37</v>
      </c>
      <c r="R256" s="70" t="s">
        <v>38</v>
      </c>
      <c r="S256" s="97">
        <v>300</v>
      </c>
      <c r="T256" s="70" t="s">
        <v>52</v>
      </c>
      <c r="V256" s="70">
        <v>1</v>
      </c>
      <c r="W256" s="70" t="s">
        <v>53</v>
      </c>
      <c r="Y256" s="70" t="s">
        <v>44</v>
      </c>
      <c r="AA256" s="70" t="s">
        <v>44</v>
      </c>
      <c r="AB256" s="70" t="s">
        <v>47</v>
      </c>
      <c r="AC256" s="70" t="s">
        <v>822</v>
      </c>
      <c r="AD256" s="291" t="s">
        <v>823</v>
      </c>
      <c r="AF256" s="75" t="s">
        <v>47</v>
      </c>
    </row>
    <row r="257" spans="1:32" s="70" customFormat="1">
      <c r="A257" s="70" t="s">
        <v>816</v>
      </c>
      <c r="B257" s="68">
        <v>45659</v>
      </c>
      <c r="C257" s="68">
        <v>45667</v>
      </c>
      <c r="D257" s="68">
        <v>45659</v>
      </c>
      <c r="E257" s="68">
        <v>45801</v>
      </c>
      <c r="F257" s="68">
        <v>45681</v>
      </c>
      <c r="G257" s="68"/>
      <c r="H257" s="70">
        <v>250</v>
      </c>
      <c r="I257" s="70">
        <v>250</v>
      </c>
      <c r="J257" s="69">
        <f t="shared" si="32"/>
        <v>1</v>
      </c>
      <c r="L257" s="69">
        <f t="shared" si="33"/>
        <v>0</v>
      </c>
      <c r="N257" s="70" t="s">
        <v>57</v>
      </c>
      <c r="O257" s="70" t="s">
        <v>821</v>
      </c>
      <c r="P257" s="70" t="s">
        <v>62</v>
      </c>
      <c r="Q257" s="70" t="s">
        <v>37</v>
      </c>
      <c r="R257" s="70" t="s">
        <v>38</v>
      </c>
      <c r="S257" s="97">
        <v>300</v>
      </c>
      <c r="T257" s="70" t="s">
        <v>52</v>
      </c>
      <c r="V257" s="70">
        <v>1</v>
      </c>
      <c r="W257" s="70" t="s">
        <v>53</v>
      </c>
      <c r="Y257" s="70" t="s">
        <v>44</v>
      </c>
      <c r="AA257" s="70" t="s">
        <v>44</v>
      </c>
      <c r="AB257" s="70" t="s">
        <v>47</v>
      </c>
      <c r="AC257" s="70" t="s">
        <v>822</v>
      </c>
      <c r="AD257" s="291" t="s">
        <v>824</v>
      </c>
      <c r="AF257" s="75" t="s">
        <v>47</v>
      </c>
    </row>
    <row r="258" spans="1:32" s="70" customFormat="1">
      <c r="A258" s="70" t="s">
        <v>816</v>
      </c>
      <c r="B258" s="68">
        <v>45659</v>
      </c>
      <c r="C258" s="68">
        <v>45667</v>
      </c>
      <c r="D258" s="68">
        <v>45659</v>
      </c>
      <c r="E258" s="68">
        <v>45801</v>
      </c>
      <c r="F258" s="68">
        <v>45681</v>
      </c>
      <c r="G258" s="68"/>
      <c r="H258" s="70">
        <v>250</v>
      </c>
      <c r="I258" s="70">
        <v>250</v>
      </c>
      <c r="J258" s="69">
        <f t="shared" si="32"/>
        <v>1</v>
      </c>
      <c r="L258" s="69">
        <f t="shared" si="33"/>
        <v>0</v>
      </c>
      <c r="N258" s="70" t="s">
        <v>57</v>
      </c>
      <c r="O258" s="70" t="s">
        <v>821</v>
      </c>
      <c r="P258" s="70" t="s">
        <v>63</v>
      </c>
      <c r="Q258" s="70" t="s">
        <v>37</v>
      </c>
      <c r="R258" s="70" t="s">
        <v>38</v>
      </c>
      <c r="S258" s="97">
        <v>300</v>
      </c>
      <c r="T258" s="70" t="s">
        <v>52</v>
      </c>
      <c r="V258" s="70">
        <v>1</v>
      </c>
      <c r="W258" s="70" t="s">
        <v>53</v>
      </c>
      <c r="Y258" s="70" t="s">
        <v>44</v>
      </c>
      <c r="AA258" s="70" t="s">
        <v>44</v>
      </c>
      <c r="AB258" s="70" t="s">
        <v>47</v>
      </c>
      <c r="AC258" s="70" t="s">
        <v>822</v>
      </c>
      <c r="AD258" s="291" t="s">
        <v>825</v>
      </c>
      <c r="AF258" s="75" t="s">
        <v>47</v>
      </c>
    </row>
    <row r="259" spans="1:32" s="70" customFormat="1">
      <c r="A259" s="70" t="s">
        <v>816</v>
      </c>
      <c r="B259" s="68">
        <v>45659</v>
      </c>
      <c r="C259" s="68">
        <v>45667</v>
      </c>
      <c r="D259" s="68">
        <v>45659</v>
      </c>
      <c r="E259" s="68">
        <v>45801</v>
      </c>
      <c r="F259" s="68">
        <v>45681</v>
      </c>
      <c r="G259" s="68"/>
      <c r="H259" s="70">
        <v>250</v>
      </c>
      <c r="I259" s="70">
        <v>250</v>
      </c>
      <c r="J259" s="69">
        <f t="shared" si="32"/>
        <v>1</v>
      </c>
      <c r="L259" s="69">
        <f t="shared" si="33"/>
        <v>0</v>
      </c>
      <c r="N259" s="70" t="s">
        <v>57</v>
      </c>
      <c r="O259" s="70" t="s">
        <v>821</v>
      </c>
      <c r="P259" s="70" t="s">
        <v>65</v>
      </c>
      <c r="Q259" s="70" t="s">
        <v>37</v>
      </c>
      <c r="R259" s="70" t="s">
        <v>38</v>
      </c>
      <c r="S259" s="97">
        <v>300</v>
      </c>
      <c r="T259" s="70" t="s">
        <v>52</v>
      </c>
      <c r="V259" s="70">
        <v>1</v>
      </c>
      <c r="W259" s="70" t="s">
        <v>53</v>
      </c>
      <c r="Y259" s="70" t="s">
        <v>44</v>
      </c>
      <c r="AA259" s="70" t="s">
        <v>44</v>
      </c>
      <c r="AB259" s="70" t="s">
        <v>47</v>
      </c>
      <c r="AC259" s="70" t="s">
        <v>822</v>
      </c>
      <c r="AD259" s="291" t="s">
        <v>826</v>
      </c>
      <c r="AF259" s="75" t="s">
        <v>47</v>
      </c>
    </row>
    <row r="260" spans="1:32" s="70" customFormat="1">
      <c r="A260" s="70" t="s">
        <v>816</v>
      </c>
      <c r="B260" s="68">
        <v>45659</v>
      </c>
      <c r="C260" s="68">
        <v>45667</v>
      </c>
      <c r="D260" s="68">
        <v>45659</v>
      </c>
      <c r="E260" s="68">
        <v>45801</v>
      </c>
      <c r="F260" s="68">
        <v>45681</v>
      </c>
      <c r="G260" s="68"/>
      <c r="H260" s="70">
        <v>250</v>
      </c>
      <c r="I260" s="70">
        <v>250</v>
      </c>
      <c r="J260" s="69">
        <f t="shared" si="32"/>
        <v>1</v>
      </c>
      <c r="L260" s="69">
        <f t="shared" si="33"/>
        <v>0</v>
      </c>
      <c r="N260" s="70" t="s">
        <v>57</v>
      </c>
      <c r="O260" s="70" t="s">
        <v>821</v>
      </c>
      <c r="P260" s="70" t="s">
        <v>67</v>
      </c>
      <c r="Q260" s="70" t="s">
        <v>37</v>
      </c>
      <c r="R260" s="70" t="s">
        <v>38</v>
      </c>
      <c r="S260" s="97">
        <v>300</v>
      </c>
      <c r="T260" s="70" t="s">
        <v>52</v>
      </c>
      <c r="V260" s="70">
        <v>1</v>
      </c>
      <c r="W260" s="70" t="s">
        <v>53</v>
      </c>
      <c r="Y260" s="70" t="s">
        <v>44</v>
      </c>
      <c r="AA260" s="70" t="s">
        <v>44</v>
      </c>
      <c r="AB260" s="70" t="s">
        <v>47</v>
      </c>
      <c r="AC260" s="70" t="s">
        <v>822</v>
      </c>
      <c r="AD260" s="291" t="s">
        <v>827</v>
      </c>
      <c r="AF260" s="75" t="s">
        <v>47</v>
      </c>
    </row>
    <row r="261" spans="1:32" s="70" customFormat="1">
      <c r="A261" s="70" t="s">
        <v>816</v>
      </c>
      <c r="B261" s="68">
        <v>45659</v>
      </c>
      <c r="C261" s="68">
        <v>45667</v>
      </c>
      <c r="D261" s="68">
        <v>45659</v>
      </c>
      <c r="E261" s="68">
        <v>45801</v>
      </c>
      <c r="F261" s="68">
        <v>45681</v>
      </c>
      <c r="G261" s="68"/>
      <c r="H261" s="70">
        <v>250</v>
      </c>
      <c r="I261" s="70">
        <v>250</v>
      </c>
      <c r="J261" s="69">
        <f t="shared" si="32"/>
        <v>1</v>
      </c>
      <c r="L261" s="69">
        <f t="shared" si="33"/>
        <v>0</v>
      </c>
      <c r="N261" s="70" t="s">
        <v>57</v>
      </c>
      <c r="O261" s="70" t="s">
        <v>821</v>
      </c>
      <c r="P261" s="70" t="s">
        <v>69</v>
      </c>
      <c r="Q261" s="70" t="s">
        <v>37</v>
      </c>
      <c r="R261" s="70" t="s">
        <v>38</v>
      </c>
      <c r="S261" s="97">
        <v>300</v>
      </c>
      <c r="T261" s="70" t="s">
        <v>52</v>
      </c>
      <c r="V261" s="70">
        <v>1</v>
      </c>
      <c r="W261" s="70" t="s">
        <v>53</v>
      </c>
      <c r="Y261" s="70" t="s">
        <v>44</v>
      </c>
      <c r="AA261" s="70" t="s">
        <v>44</v>
      </c>
      <c r="AB261" s="70" t="s">
        <v>47</v>
      </c>
      <c r="AC261" s="70" t="s">
        <v>822</v>
      </c>
      <c r="AD261" s="291" t="s">
        <v>828</v>
      </c>
      <c r="AF261" s="75" t="s">
        <v>47</v>
      </c>
    </row>
    <row r="262" spans="1:32" s="70" customFormat="1">
      <c r="A262" s="70" t="s">
        <v>816</v>
      </c>
      <c r="B262" s="68">
        <v>45659</v>
      </c>
      <c r="C262" s="68">
        <v>45667</v>
      </c>
      <c r="D262" s="68">
        <v>45659</v>
      </c>
      <c r="E262" s="68">
        <v>45801</v>
      </c>
      <c r="F262" s="68">
        <v>45681</v>
      </c>
      <c r="G262" s="68"/>
      <c r="H262" s="70">
        <v>250</v>
      </c>
      <c r="I262" s="70">
        <v>250</v>
      </c>
      <c r="J262" s="69">
        <f t="shared" si="32"/>
        <v>1</v>
      </c>
      <c r="L262" s="69">
        <f t="shared" si="33"/>
        <v>0</v>
      </c>
      <c r="N262" s="70" t="s">
        <v>57</v>
      </c>
      <c r="O262" s="70" t="s">
        <v>821</v>
      </c>
      <c r="P262" s="70" t="s">
        <v>419</v>
      </c>
      <c r="Q262" s="70" t="s">
        <v>37</v>
      </c>
      <c r="R262" s="70" t="s">
        <v>38</v>
      </c>
      <c r="S262" s="97">
        <v>300</v>
      </c>
      <c r="T262" s="70" t="s">
        <v>52</v>
      </c>
      <c r="V262" s="70">
        <v>1</v>
      </c>
      <c r="W262" s="70" t="s">
        <v>53</v>
      </c>
      <c r="Y262" s="70" t="s">
        <v>44</v>
      </c>
      <c r="AA262" s="70" t="s">
        <v>44</v>
      </c>
      <c r="AB262" s="70" t="s">
        <v>47</v>
      </c>
      <c r="AC262" s="70" t="s">
        <v>822</v>
      </c>
      <c r="AD262" s="291" t="s">
        <v>829</v>
      </c>
      <c r="AF262" s="75" t="s">
        <v>47</v>
      </c>
    </row>
    <row r="263" spans="1:32" s="70" customFormat="1">
      <c r="A263" s="70" t="s">
        <v>816</v>
      </c>
      <c r="B263" s="68">
        <v>45659</v>
      </c>
      <c r="C263" s="68">
        <v>45667</v>
      </c>
      <c r="D263" s="68">
        <v>45659</v>
      </c>
      <c r="E263" s="68">
        <v>45801</v>
      </c>
      <c r="F263" s="68">
        <v>45681</v>
      </c>
      <c r="G263" s="68"/>
      <c r="H263" s="70">
        <v>250</v>
      </c>
      <c r="I263" s="70">
        <v>250</v>
      </c>
      <c r="J263" s="69">
        <f t="shared" si="32"/>
        <v>1</v>
      </c>
      <c r="L263" s="69">
        <f t="shared" si="33"/>
        <v>0</v>
      </c>
      <c r="N263" s="70" t="s">
        <v>57</v>
      </c>
      <c r="O263" s="70" t="s">
        <v>830</v>
      </c>
      <c r="P263" s="70" t="s">
        <v>59</v>
      </c>
      <c r="Q263" s="70" t="s">
        <v>37</v>
      </c>
      <c r="R263" s="70" t="s">
        <v>38</v>
      </c>
      <c r="S263" s="97">
        <v>300</v>
      </c>
      <c r="T263" s="70" t="s">
        <v>52</v>
      </c>
      <c r="V263" s="70">
        <v>1</v>
      </c>
      <c r="W263" s="70" t="s">
        <v>53</v>
      </c>
      <c r="Y263" s="70" t="s">
        <v>44</v>
      </c>
      <c r="AA263" s="70" t="s">
        <v>44</v>
      </c>
      <c r="AB263" s="70" t="s">
        <v>47</v>
      </c>
      <c r="AC263" s="70" t="s">
        <v>822</v>
      </c>
      <c r="AD263" s="291" t="s">
        <v>831</v>
      </c>
      <c r="AF263" s="75" t="s">
        <v>47</v>
      </c>
    </row>
    <row r="264" spans="1:32" s="70" customFormat="1">
      <c r="A264" s="70" t="s">
        <v>816</v>
      </c>
      <c r="B264" s="68">
        <v>45659</v>
      </c>
      <c r="C264" s="68">
        <v>45667</v>
      </c>
      <c r="D264" s="68">
        <v>45659</v>
      </c>
      <c r="E264" s="68">
        <v>45801</v>
      </c>
      <c r="F264" s="68">
        <v>45681</v>
      </c>
      <c r="G264" s="68"/>
      <c r="H264" s="70">
        <v>250</v>
      </c>
      <c r="I264" s="70">
        <v>250</v>
      </c>
      <c r="J264" s="69">
        <f t="shared" si="32"/>
        <v>1</v>
      </c>
      <c r="L264" s="69">
        <f t="shared" si="33"/>
        <v>0</v>
      </c>
      <c r="N264" s="70" t="s">
        <v>57</v>
      </c>
      <c r="O264" s="70" t="s">
        <v>830</v>
      </c>
      <c r="P264" s="70" t="s">
        <v>62</v>
      </c>
      <c r="Q264" s="70" t="s">
        <v>37</v>
      </c>
      <c r="R264" s="70" t="s">
        <v>38</v>
      </c>
      <c r="S264" s="97">
        <v>300</v>
      </c>
      <c r="T264" s="70" t="s">
        <v>52</v>
      </c>
      <c r="V264" s="70">
        <v>1</v>
      </c>
      <c r="W264" s="70" t="s">
        <v>53</v>
      </c>
      <c r="Y264" s="70" t="s">
        <v>44</v>
      </c>
      <c r="AA264" s="70" t="s">
        <v>44</v>
      </c>
      <c r="AB264" s="70" t="s">
        <v>47</v>
      </c>
      <c r="AC264" s="70" t="s">
        <v>822</v>
      </c>
      <c r="AD264" s="291" t="s">
        <v>824</v>
      </c>
      <c r="AF264" s="75" t="s">
        <v>47</v>
      </c>
    </row>
    <row r="265" spans="1:32" s="70" customFormat="1">
      <c r="A265" s="70" t="s">
        <v>816</v>
      </c>
      <c r="B265" s="68">
        <v>45659</v>
      </c>
      <c r="C265" s="68">
        <v>45667</v>
      </c>
      <c r="D265" s="68">
        <v>45659</v>
      </c>
      <c r="E265" s="68">
        <v>45801</v>
      </c>
      <c r="F265" s="68">
        <v>45681</v>
      </c>
      <c r="G265" s="68"/>
      <c r="H265" s="70">
        <v>250</v>
      </c>
      <c r="I265" s="70">
        <v>250</v>
      </c>
      <c r="J265" s="69">
        <f t="shared" si="32"/>
        <v>1</v>
      </c>
      <c r="L265" s="69">
        <f t="shared" si="33"/>
        <v>0</v>
      </c>
      <c r="N265" s="70" t="s">
        <v>57</v>
      </c>
      <c r="O265" s="70" t="s">
        <v>830</v>
      </c>
      <c r="P265" s="128" t="s">
        <v>63</v>
      </c>
      <c r="Q265" s="70" t="s">
        <v>37</v>
      </c>
      <c r="R265" s="70" t="s">
        <v>38</v>
      </c>
      <c r="S265" s="97">
        <v>300</v>
      </c>
      <c r="T265" s="70" t="s">
        <v>52</v>
      </c>
      <c r="V265" s="70">
        <v>1</v>
      </c>
      <c r="W265" s="70" t="s">
        <v>53</v>
      </c>
      <c r="Y265" s="70" t="s">
        <v>44</v>
      </c>
      <c r="AA265" s="70" t="s">
        <v>44</v>
      </c>
      <c r="AB265" s="70" t="s">
        <v>47</v>
      </c>
      <c r="AC265" s="70" t="s">
        <v>822</v>
      </c>
      <c r="AD265" s="291" t="s">
        <v>825</v>
      </c>
      <c r="AF265" s="75" t="s">
        <v>47</v>
      </c>
    </row>
    <row r="266" spans="1:32" s="70" customFormat="1">
      <c r="A266" s="70" t="s">
        <v>816</v>
      </c>
      <c r="B266" s="68">
        <v>45659</v>
      </c>
      <c r="C266" s="68">
        <v>45667</v>
      </c>
      <c r="D266" s="68">
        <v>45659</v>
      </c>
      <c r="E266" s="68">
        <v>45801</v>
      </c>
      <c r="F266" s="68">
        <v>45681</v>
      </c>
      <c r="G266" s="68"/>
      <c r="H266" s="70">
        <v>250</v>
      </c>
      <c r="I266" s="70">
        <v>250</v>
      </c>
      <c r="J266" s="69">
        <f t="shared" si="32"/>
        <v>1</v>
      </c>
      <c r="L266" s="69">
        <f t="shared" si="33"/>
        <v>0</v>
      </c>
      <c r="N266" s="70" t="s">
        <v>57</v>
      </c>
      <c r="O266" s="70" t="s">
        <v>830</v>
      </c>
      <c r="P266" s="70" t="s">
        <v>69</v>
      </c>
      <c r="Q266" s="70" t="s">
        <v>37</v>
      </c>
      <c r="R266" s="70" t="s">
        <v>38</v>
      </c>
      <c r="S266" s="97">
        <v>300</v>
      </c>
      <c r="T266" s="70" t="s">
        <v>52</v>
      </c>
      <c r="V266" s="70">
        <v>1</v>
      </c>
      <c r="W266" s="70" t="s">
        <v>53</v>
      </c>
      <c r="Y266" s="70" t="s">
        <v>44</v>
      </c>
      <c r="AA266" s="70" t="s">
        <v>44</v>
      </c>
      <c r="AB266" s="70" t="s">
        <v>47</v>
      </c>
      <c r="AC266" s="70" t="s">
        <v>822</v>
      </c>
      <c r="AD266" s="291" t="s">
        <v>828</v>
      </c>
      <c r="AF266" s="75" t="s">
        <v>47</v>
      </c>
    </row>
    <row r="267" spans="1:32" s="70" customFormat="1">
      <c r="A267" s="70" t="s">
        <v>816</v>
      </c>
      <c r="B267" s="68">
        <v>45659</v>
      </c>
      <c r="C267" s="68">
        <v>45667</v>
      </c>
      <c r="D267" s="68">
        <v>45659</v>
      </c>
      <c r="E267" s="68">
        <v>45801</v>
      </c>
      <c r="F267" s="68">
        <v>45681</v>
      </c>
      <c r="G267" s="68"/>
      <c r="H267" s="70">
        <v>250</v>
      </c>
      <c r="I267" s="70">
        <v>250</v>
      </c>
      <c r="J267" s="69">
        <f t="shared" si="32"/>
        <v>1</v>
      </c>
      <c r="L267" s="69">
        <f t="shared" si="33"/>
        <v>0</v>
      </c>
      <c r="N267" s="70" t="s">
        <v>57</v>
      </c>
      <c r="O267" s="70" t="s">
        <v>830</v>
      </c>
      <c r="P267" s="70" t="s">
        <v>419</v>
      </c>
      <c r="Q267" s="70" t="s">
        <v>37</v>
      </c>
      <c r="R267" s="70" t="s">
        <v>38</v>
      </c>
      <c r="S267" s="97">
        <v>300</v>
      </c>
      <c r="T267" s="70" t="s">
        <v>52</v>
      </c>
      <c r="V267" s="70">
        <v>1</v>
      </c>
      <c r="W267" s="70" t="s">
        <v>53</v>
      </c>
      <c r="Y267" s="70" t="s">
        <v>44</v>
      </c>
      <c r="AA267" s="70" t="s">
        <v>44</v>
      </c>
      <c r="AB267" s="70" t="s">
        <v>47</v>
      </c>
      <c r="AC267" s="70" t="s">
        <v>822</v>
      </c>
      <c r="AD267" s="291" t="s">
        <v>832</v>
      </c>
      <c r="AF267" s="75" t="s">
        <v>47</v>
      </c>
    </row>
    <row r="268" spans="1:32" s="70" customFormat="1">
      <c r="A268" s="70" t="s">
        <v>816</v>
      </c>
      <c r="B268" s="68">
        <v>45659</v>
      </c>
      <c r="C268" s="68">
        <v>45667</v>
      </c>
      <c r="D268" s="68">
        <v>45781</v>
      </c>
      <c r="E268" s="68">
        <v>45892</v>
      </c>
      <c r="F268" s="68">
        <v>45772</v>
      </c>
      <c r="H268" s="70">
        <v>250</v>
      </c>
      <c r="I268" s="70">
        <v>250</v>
      </c>
      <c r="J268" s="69">
        <f t="shared" si="32"/>
        <v>1</v>
      </c>
      <c r="L268" s="69">
        <f t="shared" si="33"/>
        <v>0</v>
      </c>
      <c r="N268" s="70" t="s">
        <v>57</v>
      </c>
      <c r="O268" s="70" t="s">
        <v>821</v>
      </c>
      <c r="P268" s="70" t="s">
        <v>59</v>
      </c>
      <c r="Q268" s="70" t="s">
        <v>37</v>
      </c>
      <c r="R268" s="70" t="s">
        <v>38</v>
      </c>
      <c r="S268" s="97">
        <v>300</v>
      </c>
      <c r="T268" s="70" t="s">
        <v>52</v>
      </c>
      <c r="V268" s="70">
        <v>1</v>
      </c>
      <c r="W268" s="70" t="s">
        <v>53</v>
      </c>
      <c r="Y268" s="70" t="s">
        <v>44</v>
      </c>
      <c r="AA268" s="70" t="s">
        <v>44</v>
      </c>
      <c r="AB268" s="70" t="s">
        <v>47</v>
      </c>
      <c r="AC268" s="70" t="s">
        <v>833</v>
      </c>
      <c r="AD268" s="291" t="s">
        <v>834</v>
      </c>
      <c r="AF268" s="75" t="s">
        <v>47</v>
      </c>
    </row>
    <row r="269" spans="1:32" s="70" customFormat="1">
      <c r="A269" s="70" t="s">
        <v>816</v>
      </c>
      <c r="B269" s="68">
        <v>45659</v>
      </c>
      <c r="C269" s="68">
        <v>45667</v>
      </c>
      <c r="D269" s="68">
        <v>45781</v>
      </c>
      <c r="E269" s="68">
        <v>45892</v>
      </c>
      <c r="F269" s="68">
        <v>45772</v>
      </c>
      <c r="H269" s="70">
        <v>250</v>
      </c>
      <c r="I269" s="70">
        <v>250</v>
      </c>
      <c r="J269" s="69">
        <f t="shared" si="32"/>
        <v>1</v>
      </c>
      <c r="L269" s="69">
        <f t="shared" si="33"/>
        <v>0</v>
      </c>
      <c r="N269" s="70" t="s">
        <v>57</v>
      </c>
      <c r="O269" s="70" t="s">
        <v>821</v>
      </c>
      <c r="P269" s="70" t="s">
        <v>62</v>
      </c>
      <c r="Q269" s="70" t="s">
        <v>37</v>
      </c>
      <c r="R269" s="70" t="s">
        <v>38</v>
      </c>
      <c r="S269" s="97">
        <v>300</v>
      </c>
      <c r="T269" s="70" t="s">
        <v>52</v>
      </c>
      <c r="V269" s="70">
        <v>1</v>
      </c>
      <c r="W269" s="70" t="s">
        <v>53</v>
      </c>
      <c r="Y269" s="70" t="s">
        <v>44</v>
      </c>
      <c r="AA269" s="70" t="s">
        <v>44</v>
      </c>
      <c r="AB269" s="70" t="s">
        <v>47</v>
      </c>
      <c r="AC269" s="70" t="s">
        <v>833</v>
      </c>
      <c r="AD269" s="291" t="s">
        <v>835</v>
      </c>
      <c r="AF269" s="75" t="s">
        <v>47</v>
      </c>
    </row>
    <row r="270" spans="1:32" s="70" customFormat="1">
      <c r="A270" s="70" t="s">
        <v>816</v>
      </c>
      <c r="B270" s="68">
        <v>45659</v>
      </c>
      <c r="C270" s="68">
        <v>45667</v>
      </c>
      <c r="D270" s="68">
        <v>45781</v>
      </c>
      <c r="E270" s="68">
        <v>45892</v>
      </c>
      <c r="F270" s="68">
        <v>45772</v>
      </c>
      <c r="H270" s="70">
        <v>250</v>
      </c>
      <c r="I270" s="70">
        <v>250</v>
      </c>
      <c r="J270" s="69">
        <f t="shared" si="32"/>
        <v>1</v>
      </c>
      <c r="L270" s="69">
        <f t="shared" si="33"/>
        <v>0</v>
      </c>
      <c r="N270" s="70" t="s">
        <v>57</v>
      </c>
      <c r="O270" s="70" t="s">
        <v>821</v>
      </c>
      <c r="P270" s="70" t="s">
        <v>63</v>
      </c>
      <c r="Q270" s="70" t="s">
        <v>37</v>
      </c>
      <c r="R270" s="70" t="s">
        <v>38</v>
      </c>
      <c r="S270" s="97">
        <v>300</v>
      </c>
      <c r="T270" s="70" t="s">
        <v>52</v>
      </c>
      <c r="V270" s="70">
        <v>1</v>
      </c>
      <c r="W270" s="70" t="s">
        <v>53</v>
      </c>
      <c r="Y270" s="70" t="s">
        <v>44</v>
      </c>
      <c r="AA270" s="70" t="s">
        <v>44</v>
      </c>
      <c r="AB270" s="70" t="s">
        <v>47</v>
      </c>
      <c r="AC270" s="70" t="s">
        <v>833</v>
      </c>
      <c r="AD270" s="291" t="s">
        <v>836</v>
      </c>
      <c r="AF270" s="75" t="s">
        <v>47</v>
      </c>
    </row>
    <row r="271" spans="1:32" s="70" customFormat="1">
      <c r="A271" s="70" t="s">
        <v>816</v>
      </c>
      <c r="B271" s="68">
        <v>45659</v>
      </c>
      <c r="C271" s="68">
        <v>45667</v>
      </c>
      <c r="D271" s="68">
        <v>45781</v>
      </c>
      <c r="E271" s="68">
        <v>45892</v>
      </c>
      <c r="F271" s="68">
        <v>45772</v>
      </c>
      <c r="H271" s="70">
        <v>250</v>
      </c>
      <c r="I271" s="70">
        <v>250</v>
      </c>
      <c r="J271" s="69">
        <f t="shared" si="32"/>
        <v>1</v>
      </c>
      <c r="L271" s="69">
        <f t="shared" si="33"/>
        <v>0</v>
      </c>
      <c r="N271" s="70" t="s">
        <v>57</v>
      </c>
      <c r="O271" s="70" t="s">
        <v>821</v>
      </c>
      <c r="P271" s="70" t="s">
        <v>65</v>
      </c>
      <c r="Q271" s="70" t="s">
        <v>37</v>
      </c>
      <c r="R271" s="70" t="s">
        <v>38</v>
      </c>
      <c r="S271" s="97">
        <v>300</v>
      </c>
      <c r="T271" s="70" t="s">
        <v>52</v>
      </c>
      <c r="V271" s="70">
        <v>1</v>
      </c>
      <c r="W271" s="70" t="s">
        <v>53</v>
      </c>
      <c r="Y271" s="70" t="s">
        <v>44</v>
      </c>
      <c r="AA271" s="70" t="s">
        <v>44</v>
      </c>
      <c r="AB271" s="70" t="s">
        <v>47</v>
      </c>
      <c r="AC271" s="70" t="s">
        <v>833</v>
      </c>
      <c r="AD271" s="291" t="s">
        <v>837</v>
      </c>
      <c r="AF271" s="75" t="s">
        <v>47</v>
      </c>
    </row>
    <row r="272" spans="1:32" s="70" customFormat="1">
      <c r="A272" s="70" t="s">
        <v>816</v>
      </c>
      <c r="B272" s="68">
        <v>45659</v>
      </c>
      <c r="C272" s="68">
        <v>45667</v>
      </c>
      <c r="D272" s="68">
        <v>45781</v>
      </c>
      <c r="E272" s="68">
        <v>45892</v>
      </c>
      <c r="F272" s="68">
        <v>45772</v>
      </c>
      <c r="H272" s="70">
        <v>250</v>
      </c>
      <c r="I272" s="70">
        <v>250</v>
      </c>
      <c r="J272" s="69">
        <f t="shared" si="32"/>
        <v>1</v>
      </c>
      <c r="L272" s="69">
        <f t="shared" si="33"/>
        <v>0</v>
      </c>
      <c r="N272" s="70" t="s">
        <v>57</v>
      </c>
      <c r="O272" s="70" t="s">
        <v>821</v>
      </c>
      <c r="P272" s="70" t="s">
        <v>67</v>
      </c>
      <c r="Q272" s="70" t="s">
        <v>37</v>
      </c>
      <c r="R272" s="70" t="s">
        <v>38</v>
      </c>
      <c r="S272" s="97">
        <v>300</v>
      </c>
      <c r="T272" s="70" t="s">
        <v>52</v>
      </c>
      <c r="V272" s="70">
        <v>1</v>
      </c>
      <c r="W272" s="70" t="s">
        <v>53</v>
      </c>
      <c r="Y272" s="70" t="s">
        <v>44</v>
      </c>
      <c r="AA272" s="70" t="s">
        <v>44</v>
      </c>
      <c r="AB272" s="70" t="s">
        <v>47</v>
      </c>
      <c r="AC272" s="70" t="s">
        <v>833</v>
      </c>
      <c r="AD272" s="291" t="s">
        <v>838</v>
      </c>
      <c r="AF272" s="75" t="s">
        <v>47</v>
      </c>
    </row>
    <row r="273" spans="1:32" s="70" customFormat="1">
      <c r="A273" s="70" t="s">
        <v>816</v>
      </c>
      <c r="B273" s="68">
        <v>45659</v>
      </c>
      <c r="C273" s="68">
        <v>45667</v>
      </c>
      <c r="D273" s="68">
        <v>45781</v>
      </c>
      <c r="E273" s="68">
        <v>45892</v>
      </c>
      <c r="F273" s="68">
        <v>45772</v>
      </c>
      <c r="H273" s="70">
        <v>250</v>
      </c>
      <c r="I273" s="70">
        <v>250</v>
      </c>
      <c r="J273" s="69">
        <f t="shared" si="32"/>
        <v>1</v>
      </c>
      <c r="L273" s="69">
        <f t="shared" si="33"/>
        <v>0</v>
      </c>
      <c r="N273" s="70" t="s">
        <v>57</v>
      </c>
      <c r="O273" s="70" t="s">
        <v>821</v>
      </c>
      <c r="P273" s="70" t="s">
        <v>69</v>
      </c>
      <c r="Q273" s="70" t="s">
        <v>37</v>
      </c>
      <c r="R273" s="70" t="s">
        <v>38</v>
      </c>
      <c r="S273" s="97">
        <v>300</v>
      </c>
      <c r="T273" s="70" t="s">
        <v>52</v>
      </c>
      <c r="V273" s="70">
        <v>1</v>
      </c>
      <c r="W273" s="70" t="s">
        <v>53</v>
      </c>
      <c r="Y273" s="70" t="s">
        <v>44</v>
      </c>
      <c r="AA273" s="70" t="s">
        <v>44</v>
      </c>
      <c r="AB273" s="70" t="s">
        <v>47</v>
      </c>
      <c r="AC273" s="70" t="s">
        <v>833</v>
      </c>
      <c r="AD273" s="291" t="s">
        <v>839</v>
      </c>
      <c r="AF273" s="75" t="s">
        <v>47</v>
      </c>
    </row>
    <row r="274" spans="1:32" s="70" customFormat="1">
      <c r="A274" s="70" t="s">
        <v>816</v>
      </c>
      <c r="B274" s="68">
        <v>45659</v>
      </c>
      <c r="C274" s="68">
        <v>45667</v>
      </c>
      <c r="D274" s="68">
        <v>45781</v>
      </c>
      <c r="E274" s="68">
        <v>45892</v>
      </c>
      <c r="F274" s="68">
        <v>45772</v>
      </c>
      <c r="H274" s="70">
        <v>250</v>
      </c>
      <c r="I274" s="70">
        <v>250</v>
      </c>
      <c r="J274" s="69">
        <f t="shared" si="32"/>
        <v>1</v>
      </c>
      <c r="L274" s="69">
        <f t="shared" si="33"/>
        <v>0</v>
      </c>
      <c r="N274" s="70" t="s">
        <v>57</v>
      </c>
      <c r="O274" s="70" t="s">
        <v>821</v>
      </c>
      <c r="P274" s="70" t="s">
        <v>419</v>
      </c>
      <c r="Q274" s="70" t="s">
        <v>37</v>
      </c>
      <c r="R274" s="70" t="s">
        <v>38</v>
      </c>
      <c r="S274" s="97">
        <v>300</v>
      </c>
      <c r="T274" s="70" t="s">
        <v>52</v>
      </c>
      <c r="V274" s="70">
        <v>1</v>
      </c>
      <c r="W274" s="70" t="s">
        <v>53</v>
      </c>
      <c r="Y274" s="70" t="s">
        <v>44</v>
      </c>
      <c r="AA274" s="70" t="s">
        <v>44</v>
      </c>
      <c r="AB274" s="70" t="s">
        <v>47</v>
      </c>
      <c r="AC274" s="70" t="s">
        <v>833</v>
      </c>
      <c r="AD274" s="291" t="s">
        <v>840</v>
      </c>
      <c r="AF274" s="75" t="s">
        <v>47</v>
      </c>
    </row>
    <row r="275" spans="1:32" s="70" customFormat="1">
      <c r="A275" s="70" t="s">
        <v>816</v>
      </c>
      <c r="B275" s="68">
        <v>45659</v>
      </c>
      <c r="C275" s="68">
        <v>45667</v>
      </c>
      <c r="D275" s="68">
        <v>45781</v>
      </c>
      <c r="E275" s="68">
        <v>45892</v>
      </c>
      <c r="F275" s="68">
        <v>45772</v>
      </c>
      <c r="H275" s="70">
        <v>250</v>
      </c>
      <c r="I275" s="70">
        <v>250</v>
      </c>
      <c r="J275" s="69">
        <f t="shared" si="32"/>
        <v>1</v>
      </c>
      <c r="L275" s="69">
        <f t="shared" si="33"/>
        <v>0</v>
      </c>
      <c r="N275" s="70" t="s">
        <v>57</v>
      </c>
      <c r="O275" s="70" t="s">
        <v>830</v>
      </c>
      <c r="P275" s="70" t="s">
        <v>59</v>
      </c>
      <c r="Q275" s="70" t="s">
        <v>37</v>
      </c>
      <c r="R275" s="70" t="s">
        <v>38</v>
      </c>
      <c r="S275" s="97">
        <v>300</v>
      </c>
      <c r="T275" s="70" t="s">
        <v>52</v>
      </c>
      <c r="V275" s="70">
        <v>1</v>
      </c>
      <c r="W275" s="70" t="s">
        <v>53</v>
      </c>
      <c r="Y275" s="70" t="s">
        <v>44</v>
      </c>
      <c r="AA275" s="70" t="s">
        <v>44</v>
      </c>
      <c r="AB275" s="70" t="s">
        <v>47</v>
      </c>
      <c r="AC275" s="70" t="s">
        <v>833</v>
      </c>
      <c r="AD275" s="291" t="s">
        <v>841</v>
      </c>
      <c r="AF275" s="75" t="s">
        <v>47</v>
      </c>
    </row>
    <row r="276" spans="1:32" s="70" customFormat="1">
      <c r="A276" s="70" t="s">
        <v>816</v>
      </c>
      <c r="B276" s="68">
        <v>45659</v>
      </c>
      <c r="C276" s="68">
        <v>45667</v>
      </c>
      <c r="D276" s="68">
        <v>45781</v>
      </c>
      <c r="E276" s="68">
        <v>45892</v>
      </c>
      <c r="F276" s="68">
        <v>45772</v>
      </c>
      <c r="H276" s="70">
        <v>250</v>
      </c>
      <c r="I276" s="70">
        <v>250</v>
      </c>
      <c r="J276" s="69">
        <f t="shared" si="32"/>
        <v>1</v>
      </c>
      <c r="L276" s="69">
        <f t="shared" si="33"/>
        <v>0</v>
      </c>
      <c r="N276" s="70" t="s">
        <v>57</v>
      </c>
      <c r="O276" s="70" t="s">
        <v>830</v>
      </c>
      <c r="P276" s="70" t="s">
        <v>62</v>
      </c>
      <c r="Q276" s="70" t="s">
        <v>37</v>
      </c>
      <c r="R276" s="70" t="s">
        <v>38</v>
      </c>
      <c r="S276" s="97">
        <v>300</v>
      </c>
      <c r="T276" s="70" t="s">
        <v>52</v>
      </c>
      <c r="V276" s="70">
        <v>1</v>
      </c>
      <c r="W276" s="70" t="s">
        <v>53</v>
      </c>
      <c r="Y276" s="70" t="s">
        <v>44</v>
      </c>
      <c r="AA276" s="70" t="s">
        <v>44</v>
      </c>
      <c r="AB276" s="70" t="s">
        <v>47</v>
      </c>
      <c r="AC276" s="70" t="s">
        <v>833</v>
      </c>
      <c r="AD276" s="291" t="s">
        <v>835</v>
      </c>
      <c r="AF276" s="75" t="s">
        <v>47</v>
      </c>
    </row>
    <row r="277" spans="1:32" s="70" customFormat="1">
      <c r="A277" s="70" t="s">
        <v>816</v>
      </c>
      <c r="B277" s="68">
        <v>45659</v>
      </c>
      <c r="C277" s="68">
        <v>45667</v>
      </c>
      <c r="D277" s="68">
        <v>45781</v>
      </c>
      <c r="E277" s="68">
        <v>45892</v>
      </c>
      <c r="F277" s="68">
        <v>45772</v>
      </c>
      <c r="H277" s="70">
        <v>250</v>
      </c>
      <c r="I277" s="70">
        <v>250</v>
      </c>
      <c r="J277" s="69">
        <f t="shared" si="32"/>
        <v>1</v>
      </c>
      <c r="L277" s="69">
        <f t="shared" si="33"/>
        <v>0</v>
      </c>
      <c r="N277" s="70" t="s">
        <v>57</v>
      </c>
      <c r="O277" s="70" t="s">
        <v>830</v>
      </c>
      <c r="P277" s="128" t="s">
        <v>63</v>
      </c>
      <c r="Q277" s="70" t="s">
        <v>37</v>
      </c>
      <c r="R277" s="70" t="s">
        <v>38</v>
      </c>
      <c r="S277" s="97">
        <v>300</v>
      </c>
      <c r="T277" s="70" t="s">
        <v>52</v>
      </c>
      <c r="V277" s="70">
        <v>1</v>
      </c>
      <c r="W277" s="70" t="s">
        <v>53</v>
      </c>
      <c r="Y277" s="70" t="s">
        <v>44</v>
      </c>
      <c r="AA277" s="70" t="s">
        <v>44</v>
      </c>
      <c r="AB277" s="70" t="s">
        <v>47</v>
      </c>
      <c r="AC277" s="70" t="s">
        <v>833</v>
      </c>
      <c r="AD277" s="291" t="s">
        <v>836</v>
      </c>
      <c r="AF277" s="75" t="s">
        <v>47</v>
      </c>
    </row>
    <row r="278" spans="1:32" s="70" customFormat="1">
      <c r="A278" s="70" t="s">
        <v>816</v>
      </c>
      <c r="B278" s="68">
        <v>45659</v>
      </c>
      <c r="C278" s="68">
        <v>45667</v>
      </c>
      <c r="D278" s="68">
        <v>45781</v>
      </c>
      <c r="E278" s="68">
        <v>45892</v>
      </c>
      <c r="F278" s="68">
        <v>45772</v>
      </c>
      <c r="H278" s="70">
        <v>250</v>
      </c>
      <c r="I278" s="70">
        <v>250</v>
      </c>
      <c r="J278" s="69">
        <f t="shared" si="32"/>
        <v>1</v>
      </c>
      <c r="L278" s="69">
        <f t="shared" si="33"/>
        <v>0</v>
      </c>
      <c r="N278" s="70" t="s">
        <v>57</v>
      </c>
      <c r="O278" s="70" t="s">
        <v>830</v>
      </c>
      <c r="P278" s="70" t="s">
        <v>69</v>
      </c>
      <c r="Q278" s="70" t="s">
        <v>37</v>
      </c>
      <c r="R278" s="70" t="s">
        <v>38</v>
      </c>
      <c r="S278" s="97">
        <v>300</v>
      </c>
      <c r="T278" s="70" t="s">
        <v>52</v>
      </c>
      <c r="V278" s="70">
        <v>1</v>
      </c>
      <c r="W278" s="70" t="s">
        <v>53</v>
      </c>
      <c r="Y278" s="70" t="s">
        <v>44</v>
      </c>
      <c r="AA278" s="70" t="s">
        <v>44</v>
      </c>
      <c r="AB278" s="70" t="s">
        <v>47</v>
      </c>
      <c r="AC278" s="70" t="s">
        <v>833</v>
      </c>
      <c r="AD278" s="291" t="s">
        <v>839</v>
      </c>
      <c r="AF278" s="75" t="s">
        <v>47</v>
      </c>
    </row>
    <row r="279" spans="1:32" s="70" customFormat="1">
      <c r="A279" s="70" t="s">
        <v>816</v>
      </c>
      <c r="B279" s="68">
        <v>45659</v>
      </c>
      <c r="C279" s="68">
        <v>45667</v>
      </c>
      <c r="D279" s="68">
        <v>45781</v>
      </c>
      <c r="E279" s="68">
        <v>45892</v>
      </c>
      <c r="F279" s="68">
        <v>45772</v>
      </c>
      <c r="H279" s="70">
        <v>250</v>
      </c>
      <c r="I279" s="70">
        <v>250</v>
      </c>
      <c r="J279" s="69">
        <f t="shared" si="32"/>
        <v>1</v>
      </c>
      <c r="L279" s="69">
        <f t="shared" si="33"/>
        <v>0</v>
      </c>
      <c r="N279" s="70" t="s">
        <v>57</v>
      </c>
      <c r="O279" s="70" t="s">
        <v>830</v>
      </c>
      <c r="P279" s="70" t="s">
        <v>419</v>
      </c>
      <c r="Q279" s="70" t="s">
        <v>37</v>
      </c>
      <c r="R279" s="70" t="s">
        <v>38</v>
      </c>
      <c r="S279" s="97">
        <v>300</v>
      </c>
      <c r="T279" s="70" t="s">
        <v>52</v>
      </c>
      <c r="V279" s="70">
        <v>1</v>
      </c>
      <c r="W279" s="70" t="s">
        <v>53</v>
      </c>
      <c r="Y279" s="70" t="s">
        <v>44</v>
      </c>
      <c r="AA279" s="70" t="s">
        <v>44</v>
      </c>
      <c r="AB279" s="70" t="s">
        <v>47</v>
      </c>
      <c r="AC279" s="70" t="s">
        <v>833</v>
      </c>
      <c r="AD279" s="291" t="s">
        <v>842</v>
      </c>
      <c r="AF279" s="75" t="s">
        <v>47</v>
      </c>
    </row>
    <row r="280" spans="1:32" s="70" customFormat="1">
      <c r="A280" s="70" t="s">
        <v>816</v>
      </c>
      <c r="B280" s="68">
        <v>45659</v>
      </c>
      <c r="C280" s="68">
        <v>45667</v>
      </c>
      <c r="D280" s="68">
        <v>45872</v>
      </c>
      <c r="E280" s="68">
        <v>45983</v>
      </c>
      <c r="F280" s="68">
        <v>45863</v>
      </c>
      <c r="H280" s="70">
        <v>250</v>
      </c>
      <c r="I280" s="70">
        <v>250</v>
      </c>
      <c r="J280" s="69">
        <f t="shared" si="32"/>
        <v>1</v>
      </c>
      <c r="L280" s="69">
        <f t="shared" si="33"/>
        <v>0</v>
      </c>
      <c r="N280" s="70" t="s">
        <v>57</v>
      </c>
      <c r="O280" s="70" t="s">
        <v>821</v>
      </c>
      <c r="P280" s="70" t="s">
        <v>59</v>
      </c>
      <c r="Q280" s="70" t="s">
        <v>37</v>
      </c>
      <c r="R280" s="70" t="s">
        <v>38</v>
      </c>
      <c r="S280" s="97">
        <v>300</v>
      </c>
      <c r="T280" s="70" t="s">
        <v>52</v>
      </c>
      <c r="V280" s="70">
        <v>1</v>
      </c>
      <c r="W280" s="70" t="s">
        <v>53</v>
      </c>
      <c r="Y280" s="70" t="s">
        <v>44</v>
      </c>
      <c r="AA280" s="70" t="s">
        <v>44</v>
      </c>
      <c r="AB280" s="70" t="s">
        <v>47</v>
      </c>
      <c r="AC280" s="70" t="s">
        <v>843</v>
      </c>
      <c r="AD280" s="291" t="s">
        <v>844</v>
      </c>
      <c r="AF280" s="75" t="s">
        <v>47</v>
      </c>
    </row>
    <row r="281" spans="1:32" s="70" customFormat="1">
      <c r="A281" s="70" t="s">
        <v>816</v>
      </c>
      <c r="B281" s="68">
        <v>45659</v>
      </c>
      <c r="C281" s="68">
        <v>45667</v>
      </c>
      <c r="D281" s="68">
        <v>45872</v>
      </c>
      <c r="E281" s="68">
        <v>45983</v>
      </c>
      <c r="F281" s="68">
        <v>45863</v>
      </c>
      <c r="H281" s="70">
        <v>250</v>
      </c>
      <c r="I281" s="70">
        <v>250</v>
      </c>
      <c r="J281" s="69">
        <f t="shared" si="32"/>
        <v>1</v>
      </c>
      <c r="L281" s="69">
        <f t="shared" si="33"/>
        <v>0</v>
      </c>
      <c r="N281" s="70" t="s">
        <v>57</v>
      </c>
      <c r="O281" s="70" t="s">
        <v>821</v>
      </c>
      <c r="P281" s="70" t="s">
        <v>62</v>
      </c>
      <c r="Q281" s="70" t="s">
        <v>37</v>
      </c>
      <c r="R281" s="70" t="s">
        <v>38</v>
      </c>
      <c r="S281" s="97">
        <v>300</v>
      </c>
      <c r="T281" s="70" t="s">
        <v>52</v>
      </c>
      <c r="V281" s="70">
        <v>1</v>
      </c>
      <c r="W281" s="70" t="s">
        <v>53</v>
      </c>
      <c r="Y281" s="70" t="s">
        <v>44</v>
      </c>
      <c r="AA281" s="70" t="s">
        <v>44</v>
      </c>
      <c r="AB281" s="70" t="s">
        <v>47</v>
      </c>
      <c r="AC281" s="70" t="s">
        <v>843</v>
      </c>
      <c r="AD281" s="291" t="s">
        <v>845</v>
      </c>
      <c r="AF281" s="75" t="s">
        <v>47</v>
      </c>
    </row>
    <row r="282" spans="1:32" s="70" customFormat="1">
      <c r="A282" s="70" t="s">
        <v>816</v>
      </c>
      <c r="B282" s="68">
        <v>45659</v>
      </c>
      <c r="C282" s="68">
        <v>45667</v>
      </c>
      <c r="D282" s="68">
        <v>45872</v>
      </c>
      <c r="E282" s="68">
        <v>45983</v>
      </c>
      <c r="F282" s="68">
        <v>45863</v>
      </c>
      <c r="H282" s="70">
        <v>250</v>
      </c>
      <c r="I282" s="70">
        <v>250</v>
      </c>
      <c r="J282" s="69">
        <f t="shared" si="32"/>
        <v>1</v>
      </c>
      <c r="L282" s="69">
        <f t="shared" si="33"/>
        <v>0</v>
      </c>
      <c r="N282" s="70" t="s">
        <v>57</v>
      </c>
      <c r="O282" s="70" t="s">
        <v>821</v>
      </c>
      <c r="P282" s="70" t="s">
        <v>63</v>
      </c>
      <c r="Q282" s="70" t="s">
        <v>37</v>
      </c>
      <c r="R282" s="70" t="s">
        <v>38</v>
      </c>
      <c r="S282" s="97">
        <v>300</v>
      </c>
      <c r="T282" s="70" t="s">
        <v>52</v>
      </c>
      <c r="V282" s="70">
        <v>1</v>
      </c>
      <c r="W282" s="70" t="s">
        <v>53</v>
      </c>
      <c r="Y282" s="70" t="s">
        <v>44</v>
      </c>
      <c r="AA282" s="70" t="s">
        <v>44</v>
      </c>
      <c r="AB282" s="70" t="s">
        <v>47</v>
      </c>
      <c r="AC282" s="70" t="s">
        <v>843</v>
      </c>
      <c r="AD282" s="291" t="s">
        <v>846</v>
      </c>
      <c r="AF282" s="75" t="s">
        <v>47</v>
      </c>
    </row>
    <row r="283" spans="1:32" s="70" customFormat="1">
      <c r="A283" s="70" t="s">
        <v>816</v>
      </c>
      <c r="B283" s="68">
        <v>45659</v>
      </c>
      <c r="C283" s="68">
        <v>45667</v>
      </c>
      <c r="D283" s="68">
        <v>45872</v>
      </c>
      <c r="E283" s="68">
        <v>45983</v>
      </c>
      <c r="F283" s="68">
        <v>45863</v>
      </c>
      <c r="H283" s="70">
        <v>250</v>
      </c>
      <c r="I283" s="70">
        <v>250</v>
      </c>
      <c r="J283" s="69">
        <f t="shared" si="32"/>
        <v>1</v>
      </c>
      <c r="L283" s="69">
        <f t="shared" si="33"/>
        <v>0</v>
      </c>
      <c r="N283" s="70" t="s">
        <v>57</v>
      </c>
      <c r="O283" s="70" t="s">
        <v>821</v>
      </c>
      <c r="P283" s="70" t="s">
        <v>847</v>
      </c>
      <c r="Q283" s="70" t="s">
        <v>37</v>
      </c>
      <c r="R283" s="70" t="s">
        <v>38</v>
      </c>
      <c r="S283" s="97">
        <v>300</v>
      </c>
      <c r="T283" s="70" t="s">
        <v>52</v>
      </c>
      <c r="V283" s="70">
        <v>1</v>
      </c>
      <c r="W283" s="70" t="s">
        <v>53</v>
      </c>
      <c r="Y283" s="70" t="s">
        <v>44</v>
      </c>
      <c r="AA283" s="70" t="s">
        <v>44</v>
      </c>
      <c r="AB283" s="70" t="s">
        <v>47</v>
      </c>
      <c r="AC283" s="70" t="s">
        <v>843</v>
      </c>
      <c r="AD283" s="291" t="s">
        <v>848</v>
      </c>
      <c r="AF283" s="75" t="s">
        <v>47</v>
      </c>
    </row>
    <row r="284" spans="1:32" s="70" customFormat="1">
      <c r="A284" s="70" t="s">
        <v>816</v>
      </c>
      <c r="B284" s="68">
        <v>45659</v>
      </c>
      <c r="C284" s="68">
        <v>45667</v>
      </c>
      <c r="D284" s="68">
        <v>45872</v>
      </c>
      <c r="E284" s="68">
        <v>45983</v>
      </c>
      <c r="F284" s="68">
        <v>45863</v>
      </c>
      <c r="H284" s="70">
        <v>250</v>
      </c>
      <c r="I284" s="70">
        <v>250</v>
      </c>
      <c r="J284" s="69">
        <f t="shared" si="32"/>
        <v>1</v>
      </c>
      <c r="L284" s="69">
        <f t="shared" si="33"/>
        <v>0</v>
      </c>
      <c r="N284" s="70" t="s">
        <v>57</v>
      </c>
      <c r="O284" s="70" t="s">
        <v>821</v>
      </c>
      <c r="P284" s="70" t="s">
        <v>67</v>
      </c>
      <c r="Q284" s="70" t="s">
        <v>37</v>
      </c>
      <c r="R284" s="70" t="s">
        <v>38</v>
      </c>
      <c r="S284" s="97">
        <v>300</v>
      </c>
      <c r="T284" s="70" t="s">
        <v>52</v>
      </c>
      <c r="V284" s="70">
        <v>1</v>
      </c>
      <c r="W284" s="70" t="s">
        <v>53</v>
      </c>
      <c r="Y284" s="70" t="s">
        <v>44</v>
      </c>
      <c r="AA284" s="70" t="s">
        <v>44</v>
      </c>
      <c r="AB284" s="70" t="s">
        <v>47</v>
      </c>
      <c r="AC284" s="70" t="s">
        <v>843</v>
      </c>
      <c r="AD284" s="291" t="s">
        <v>849</v>
      </c>
      <c r="AF284" s="75" t="s">
        <v>47</v>
      </c>
    </row>
    <row r="285" spans="1:32" s="70" customFormat="1">
      <c r="A285" s="70" t="s">
        <v>816</v>
      </c>
      <c r="B285" s="68">
        <v>45659</v>
      </c>
      <c r="C285" s="68">
        <v>45667</v>
      </c>
      <c r="D285" s="68">
        <v>45872</v>
      </c>
      <c r="E285" s="68">
        <v>45983</v>
      </c>
      <c r="F285" s="68">
        <v>45863</v>
      </c>
      <c r="H285" s="70">
        <v>250</v>
      </c>
      <c r="I285" s="70">
        <v>250</v>
      </c>
      <c r="J285" s="69">
        <f t="shared" si="32"/>
        <v>1</v>
      </c>
      <c r="L285" s="69">
        <f t="shared" si="33"/>
        <v>0</v>
      </c>
      <c r="N285" s="70" t="s">
        <v>57</v>
      </c>
      <c r="O285" s="70" t="s">
        <v>821</v>
      </c>
      <c r="P285" s="70" t="s">
        <v>69</v>
      </c>
      <c r="Q285" s="70" t="s">
        <v>37</v>
      </c>
      <c r="R285" s="70" t="s">
        <v>38</v>
      </c>
      <c r="S285" s="97">
        <v>300</v>
      </c>
      <c r="T285" s="70" t="s">
        <v>52</v>
      </c>
      <c r="V285" s="70">
        <v>1</v>
      </c>
      <c r="W285" s="70" t="s">
        <v>53</v>
      </c>
      <c r="Y285" s="70" t="s">
        <v>44</v>
      </c>
      <c r="AA285" s="70" t="s">
        <v>44</v>
      </c>
      <c r="AB285" s="70" t="s">
        <v>47</v>
      </c>
      <c r="AC285" s="70" t="s">
        <v>843</v>
      </c>
      <c r="AD285" s="291" t="s">
        <v>850</v>
      </c>
      <c r="AF285" s="75" t="s">
        <v>47</v>
      </c>
    </row>
    <row r="286" spans="1:32" s="70" customFormat="1">
      <c r="A286" s="70" t="s">
        <v>816</v>
      </c>
      <c r="B286" s="68">
        <v>45659</v>
      </c>
      <c r="C286" s="68">
        <v>45667</v>
      </c>
      <c r="D286" s="68">
        <v>45872</v>
      </c>
      <c r="E286" s="68">
        <v>45983</v>
      </c>
      <c r="F286" s="68">
        <v>45863</v>
      </c>
      <c r="H286" s="70">
        <v>250</v>
      </c>
      <c r="I286" s="70">
        <v>250</v>
      </c>
      <c r="J286" s="69">
        <f t="shared" si="32"/>
        <v>1</v>
      </c>
      <c r="L286" s="69">
        <f t="shared" si="33"/>
        <v>0</v>
      </c>
      <c r="N286" s="70" t="s">
        <v>57</v>
      </c>
      <c r="O286" s="70" t="s">
        <v>821</v>
      </c>
      <c r="P286" s="70" t="s">
        <v>419</v>
      </c>
      <c r="Q286" s="70" t="s">
        <v>37</v>
      </c>
      <c r="R286" s="70" t="s">
        <v>38</v>
      </c>
      <c r="S286" s="97">
        <v>300</v>
      </c>
      <c r="T286" s="70" t="s">
        <v>52</v>
      </c>
      <c r="V286" s="70">
        <v>1</v>
      </c>
      <c r="W286" s="70" t="s">
        <v>53</v>
      </c>
      <c r="Y286" s="70" t="s">
        <v>44</v>
      </c>
      <c r="AA286" s="70" t="s">
        <v>44</v>
      </c>
      <c r="AB286" s="70" t="s">
        <v>47</v>
      </c>
      <c r="AC286" s="70" t="s">
        <v>843</v>
      </c>
      <c r="AD286" s="291" t="s">
        <v>851</v>
      </c>
      <c r="AF286" s="75" t="s">
        <v>47</v>
      </c>
    </row>
    <row r="287" spans="1:32" s="70" customFormat="1">
      <c r="A287" s="70" t="s">
        <v>816</v>
      </c>
      <c r="B287" s="68">
        <v>45659</v>
      </c>
      <c r="C287" s="68">
        <v>45667</v>
      </c>
      <c r="D287" s="68">
        <v>45872</v>
      </c>
      <c r="E287" s="68">
        <v>45983</v>
      </c>
      <c r="F287" s="68">
        <v>45863</v>
      </c>
      <c r="H287" s="70">
        <v>250</v>
      </c>
      <c r="I287" s="70">
        <v>250</v>
      </c>
      <c r="J287" s="69">
        <f t="shared" si="32"/>
        <v>1</v>
      </c>
      <c r="L287" s="69">
        <f t="shared" si="33"/>
        <v>0</v>
      </c>
      <c r="N287" s="70" t="s">
        <v>57</v>
      </c>
      <c r="O287" s="70" t="s">
        <v>830</v>
      </c>
      <c r="P287" s="70" t="s">
        <v>59</v>
      </c>
      <c r="Q287" s="70" t="s">
        <v>37</v>
      </c>
      <c r="R287" s="70" t="s">
        <v>38</v>
      </c>
      <c r="S287" s="97">
        <v>300</v>
      </c>
      <c r="T287" s="70" t="s">
        <v>52</v>
      </c>
      <c r="V287" s="70">
        <v>1</v>
      </c>
      <c r="W287" s="70" t="s">
        <v>53</v>
      </c>
      <c r="Y287" s="70" t="s">
        <v>44</v>
      </c>
      <c r="AA287" s="70" t="s">
        <v>44</v>
      </c>
      <c r="AB287" s="70" t="s">
        <v>47</v>
      </c>
      <c r="AC287" s="70" t="s">
        <v>843</v>
      </c>
      <c r="AD287" s="291" t="s">
        <v>852</v>
      </c>
      <c r="AF287" s="75" t="s">
        <v>47</v>
      </c>
    </row>
    <row r="288" spans="1:32" s="70" customFormat="1">
      <c r="A288" s="70" t="s">
        <v>816</v>
      </c>
      <c r="B288" s="68">
        <v>45659</v>
      </c>
      <c r="C288" s="68">
        <v>45667</v>
      </c>
      <c r="D288" s="68">
        <v>45872</v>
      </c>
      <c r="E288" s="68">
        <v>45983</v>
      </c>
      <c r="F288" s="68">
        <v>45863</v>
      </c>
      <c r="H288" s="70">
        <v>250</v>
      </c>
      <c r="I288" s="70">
        <v>250</v>
      </c>
      <c r="J288" s="69">
        <f t="shared" si="32"/>
        <v>1</v>
      </c>
      <c r="L288" s="69">
        <f t="shared" si="33"/>
        <v>0</v>
      </c>
      <c r="N288" s="70" t="s">
        <v>57</v>
      </c>
      <c r="O288" s="70" t="s">
        <v>830</v>
      </c>
      <c r="P288" s="70" t="s">
        <v>62</v>
      </c>
      <c r="Q288" s="70" t="s">
        <v>37</v>
      </c>
      <c r="R288" s="70" t="s">
        <v>38</v>
      </c>
      <c r="S288" s="97">
        <v>300</v>
      </c>
      <c r="T288" s="70" t="s">
        <v>52</v>
      </c>
      <c r="V288" s="70">
        <v>1</v>
      </c>
      <c r="W288" s="70" t="s">
        <v>53</v>
      </c>
      <c r="Y288" s="70" t="s">
        <v>44</v>
      </c>
      <c r="AA288" s="70" t="s">
        <v>44</v>
      </c>
      <c r="AB288" s="70" t="s">
        <v>47</v>
      </c>
      <c r="AC288" s="70" t="s">
        <v>843</v>
      </c>
      <c r="AD288" s="291" t="s">
        <v>845</v>
      </c>
      <c r="AF288" s="75" t="s">
        <v>47</v>
      </c>
    </row>
    <row r="289" spans="1:32" s="70" customFormat="1">
      <c r="A289" s="70" t="s">
        <v>816</v>
      </c>
      <c r="B289" s="68">
        <v>45659</v>
      </c>
      <c r="C289" s="68">
        <v>45667</v>
      </c>
      <c r="D289" s="68">
        <v>45872</v>
      </c>
      <c r="E289" s="68">
        <v>45983</v>
      </c>
      <c r="F289" s="68">
        <v>45863</v>
      </c>
      <c r="H289" s="70">
        <v>250</v>
      </c>
      <c r="I289" s="70">
        <v>250</v>
      </c>
      <c r="J289" s="69">
        <f t="shared" si="32"/>
        <v>1</v>
      </c>
      <c r="L289" s="69">
        <f t="shared" si="33"/>
        <v>0</v>
      </c>
      <c r="N289" s="70" t="s">
        <v>57</v>
      </c>
      <c r="O289" s="70" t="s">
        <v>830</v>
      </c>
      <c r="P289" s="128" t="s">
        <v>63</v>
      </c>
      <c r="Q289" s="70" t="s">
        <v>37</v>
      </c>
      <c r="R289" s="70" t="s">
        <v>38</v>
      </c>
      <c r="S289" s="97">
        <v>300</v>
      </c>
      <c r="T289" s="70" t="s">
        <v>52</v>
      </c>
      <c r="V289" s="70">
        <v>1</v>
      </c>
      <c r="W289" s="70" t="s">
        <v>53</v>
      </c>
      <c r="Y289" s="70" t="s">
        <v>44</v>
      </c>
      <c r="AA289" s="70" t="s">
        <v>44</v>
      </c>
      <c r="AB289" s="70" t="s">
        <v>47</v>
      </c>
      <c r="AC289" s="70" t="s">
        <v>843</v>
      </c>
      <c r="AD289" s="291" t="s">
        <v>846</v>
      </c>
      <c r="AF289" s="75" t="s">
        <v>47</v>
      </c>
    </row>
    <row r="290" spans="1:32" s="70" customFormat="1">
      <c r="A290" s="70" t="s">
        <v>816</v>
      </c>
      <c r="B290" s="68">
        <v>45659</v>
      </c>
      <c r="C290" s="68">
        <v>45667</v>
      </c>
      <c r="D290" s="68">
        <v>45872</v>
      </c>
      <c r="E290" s="68">
        <v>45983</v>
      </c>
      <c r="F290" s="68">
        <v>45863</v>
      </c>
      <c r="H290" s="70">
        <v>250</v>
      </c>
      <c r="I290" s="70">
        <v>250</v>
      </c>
      <c r="J290" s="69">
        <f t="shared" si="32"/>
        <v>1</v>
      </c>
      <c r="L290" s="69">
        <f t="shared" si="33"/>
        <v>0</v>
      </c>
      <c r="N290" s="70" t="s">
        <v>57</v>
      </c>
      <c r="O290" s="70" t="s">
        <v>830</v>
      </c>
      <c r="P290" s="70" t="s">
        <v>69</v>
      </c>
      <c r="Q290" s="70" t="s">
        <v>37</v>
      </c>
      <c r="R290" s="70" t="s">
        <v>38</v>
      </c>
      <c r="S290" s="97">
        <v>300</v>
      </c>
      <c r="T290" s="70" t="s">
        <v>52</v>
      </c>
      <c r="V290" s="70">
        <v>1</v>
      </c>
      <c r="W290" s="70" t="s">
        <v>53</v>
      </c>
      <c r="Y290" s="70" t="s">
        <v>44</v>
      </c>
      <c r="AA290" s="70" t="s">
        <v>44</v>
      </c>
      <c r="AB290" s="70" t="s">
        <v>47</v>
      </c>
      <c r="AC290" s="70" t="s">
        <v>843</v>
      </c>
      <c r="AD290" s="291" t="s">
        <v>850</v>
      </c>
      <c r="AF290" s="75" t="s">
        <v>47</v>
      </c>
    </row>
    <row r="291" spans="1:32" s="70" customFormat="1">
      <c r="A291" s="70" t="s">
        <v>816</v>
      </c>
      <c r="B291" s="68">
        <v>45659</v>
      </c>
      <c r="C291" s="68">
        <v>45667</v>
      </c>
      <c r="D291" s="68">
        <v>45872</v>
      </c>
      <c r="E291" s="68">
        <v>45983</v>
      </c>
      <c r="F291" s="68">
        <v>45863</v>
      </c>
      <c r="H291" s="70">
        <v>250</v>
      </c>
      <c r="I291" s="70">
        <v>250</v>
      </c>
      <c r="J291" s="69">
        <f t="shared" si="32"/>
        <v>1</v>
      </c>
      <c r="L291" s="69">
        <f t="shared" si="33"/>
        <v>0</v>
      </c>
      <c r="N291" s="70" t="s">
        <v>57</v>
      </c>
      <c r="O291" s="70" t="s">
        <v>830</v>
      </c>
      <c r="P291" s="70" t="s">
        <v>419</v>
      </c>
      <c r="Q291" s="70" t="s">
        <v>37</v>
      </c>
      <c r="R291" s="70" t="s">
        <v>38</v>
      </c>
      <c r="S291" s="97">
        <v>300</v>
      </c>
      <c r="T291" s="70" t="s">
        <v>52</v>
      </c>
      <c r="V291" s="70">
        <v>1</v>
      </c>
      <c r="W291" s="70" t="s">
        <v>53</v>
      </c>
      <c r="Y291" s="70" t="s">
        <v>44</v>
      </c>
      <c r="AA291" s="70" t="s">
        <v>44</v>
      </c>
      <c r="AB291" s="70" t="s">
        <v>47</v>
      </c>
      <c r="AC291" s="70" t="s">
        <v>843</v>
      </c>
      <c r="AD291" s="291" t="s">
        <v>853</v>
      </c>
      <c r="AF291" s="75" t="s">
        <v>47</v>
      </c>
    </row>
    <row r="292" spans="1:32" s="70" customFormat="1">
      <c r="A292" s="70" t="s">
        <v>816</v>
      </c>
      <c r="B292" s="68">
        <v>45659</v>
      </c>
      <c r="C292" s="68">
        <v>45667</v>
      </c>
      <c r="D292" s="68">
        <v>45963</v>
      </c>
      <c r="E292" s="68">
        <v>46074</v>
      </c>
      <c r="F292" s="68">
        <v>46045</v>
      </c>
      <c r="H292" s="70">
        <v>250</v>
      </c>
      <c r="I292" s="70">
        <v>250</v>
      </c>
      <c r="J292" s="69">
        <f t="shared" si="32"/>
        <v>1</v>
      </c>
      <c r="L292" s="69">
        <f t="shared" si="33"/>
        <v>0</v>
      </c>
      <c r="N292" s="70" t="s">
        <v>57</v>
      </c>
      <c r="O292" s="70" t="s">
        <v>821</v>
      </c>
      <c r="P292" s="70" t="s">
        <v>59</v>
      </c>
      <c r="Q292" s="70" t="s">
        <v>37</v>
      </c>
      <c r="R292" s="70" t="s">
        <v>38</v>
      </c>
      <c r="S292" s="97">
        <v>300</v>
      </c>
      <c r="T292" s="70" t="s">
        <v>52</v>
      </c>
      <c r="V292" s="70">
        <v>1</v>
      </c>
      <c r="W292" s="70" t="s">
        <v>53</v>
      </c>
      <c r="Y292" s="70" t="s">
        <v>44</v>
      </c>
      <c r="AA292" s="70" t="s">
        <v>44</v>
      </c>
      <c r="AB292" s="70" t="s">
        <v>47</v>
      </c>
      <c r="AC292" s="70" t="s">
        <v>854</v>
      </c>
      <c r="AD292" s="291" t="s">
        <v>855</v>
      </c>
      <c r="AF292" s="75" t="s">
        <v>47</v>
      </c>
    </row>
    <row r="293" spans="1:32" s="70" customFormat="1">
      <c r="A293" s="70" t="s">
        <v>816</v>
      </c>
      <c r="B293" s="68">
        <v>45659</v>
      </c>
      <c r="C293" s="68">
        <v>45667</v>
      </c>
      <c r="D293" s="68">
        <v>45963</v>
      </c>
      <c r="E293" s="68">
        <v>46074</v>
      </c>
      <c r="F293" s="68">
        <v>46045</v>
      </c>
      <c r="H293" s="70">
        <v>250</v>
      </c>
      <c r="I293" s="70">
        <v>250</v>
      </c>
      <c r="J293" s="69">
        <f t="shared" si="32"/>
        <v>1</v>
      </c>
      <c r="L293" s="69">
        <f t="shared" si="33"/>
        <v>0</v>
      </c>
      <c r="N293" s="70" t="s">
        <v>57</v>
      </c>
      <c r="O293" s="70" t="s">
        <v>821</v>
      </c>
      <c r="P293" s="70" t="s">
        <v>62</v>
      </c>
      <c r="Q293" s="70" t="s">
        <v>37</v>
      </c>
      <c r="R293" s="70" t="s">
        <v>38</v>
      </c>
      <c r="S293" s="97">
        <v>300</v>
      </c>
      <c r="T293" s="70" t="s">
        <v>52</v>
      </c>
      <c r="V293" s="70">
        <v>1</v>
      </c>
      <c r="W293" s="70" t="s">
        <v>53</v>
      </c>
      <c r="Y293" s="70" t="s">
        <v>44</v>
      </c>
      <c r="AA293" s="70" t="s">
        <v>44</v>
      </c>
      <c r="AB293" s="70" t="s">
        <v>47</v>
      </c>
      <c r="AC293" s="70" t="s">
        <v>854</v>
      </c>
      <c r="AD293" s="291" t="s">
        <v>856</v>
      </c>
      <c r="AF293" s="75" t="s">
        <v>47</v>
      </c>
    </row>
    <row r="294" spans="1:32" s="70" customFormat="1">
      <c r="A294" s="70" t="s">
        <v>816</v>
      </c>
      <c r="B294" s="68">
        <v>45659</v>
      </c>
      <c r="C294" s="68">
        <v>45667</v>
      </c>
      <c r="D294" s="68">
        <v>45963</v>
      </c>
      <c r="E294" s="68">
        <v>46074</v>
      </c>
      <c r="F294" s="68">
        <v>46045</v>
      </c>
      <c r="H294" s="70">
        <v>250</v>
      </c>
      <c r="I294" s="70">
        <v>250</v>
      </c>
      <c r="J294" s="69">
        <f t="shared" si="32"/>
        <v>1</v>
      </c>
      <c r="L294" s="69">
        <f t="shared" si="33"/>
        <v>0</v>
      </c>
      <c r="N294" s="70" t="s">
        <v>57</v>
      </c>
      <c r="O294" s="70" t="s">
        <v>821</v>
      </c>
      <c r="P294" s="70" t="s">
        <v>63</v>
      </c>
      <c r="Q294" s="70" t="s">
        <v>37</v>
      </c>
      <c r="R294" s="70" t="s">
        <v>38</v>
      </c>
      <c r="S294" s="97">
        <v>300</v>
      </c>
      <c r="T294" s="70" t="s">
        <v>52</v>
      </c>
      <c r="V294" s="70">
        <v>1</v>
      </c>
      <c r="W294" s="70" t="s">
        <v>53</v>
      </c>
      <c r="Y294" s="70" t="s">
        <v>44</v>
      </c>
      <c r="AA294" s="70" t="s">
        <v>44</v>
      </c>
      <c r="AB294" s="70" t="s">
        <v>47</v>
      </c>
      <c r="AC294" s="70" t="s">
        <v>854</v>
      </c>
      <c r="AD294" s="291" t="s">
        <v>857</v>
      </c>
      <c r="AF294" s="75" t="s">
        <v>47</v>
      </c>
    </row>
    <row r="295" spans="1:32" s="70" customFormat="1">
      <c r="A295" s="70" t="s">
        <v>816</v>
      </c>
      <c r="B295" s="68">
        <v>45659</v>
      </c>
      <c r="C295" s="68">
        <v>45667</v>
      </c>
      <c r="D295" s="68">
        <v>45963</v>
      </c>
      <c r="E295" s="68">
        <v>46074</v>
      </c>
      <c r="F295" s="68">
        <v>46045</v>
      </c>
      <c r="H295" s="70">
        <v>250</v>
      </c>
      <c r="I295" s="70">
        <v>250</v>
      </c>
      <c r="J295" s="69">
        <f t="shared" si="32"/>
        <v>1</v>
      </c>
      <c r="L295" s="69">
        <f t="shared" si="33"/>
        <v>0</v>
      </c>
      <c r="N295" s="70" t="s">
        <v>57</v>
      </c>
      <c r="O295" s="70" t="s">
        <v>821</v>
      </c>
      <c r="P295" s="70" t="s">
        <v>847</v>
      </c>
      <c r="Q295" s="70" t="s">
        <v>37</v>
      </c>
      <c r="R295" s="70" t="s">
        <v>38</v>
      </c>
      <c r="S295" s="97">
        <v>300</v>
      </c>
      <c r="T295" s="70" t="s">
        <v>52</v>
      </c>
      <c r="V295" s="70">
        <v>1</v>
      </c>
      <c r="W295" s="70" t="s">
        <v>53</v>
      </c>
      <c r="Y295" s="70" t="s">
        <v>44</v>
      </c>
      <c r="AA295" s="70" t="s">
        <v>44</v>
      </c>
      <c r="AB295" s="70" t="s">
        <v>47</v>
      </c>
      <c r="AC295" s="70" t="s">
        <v>854</v>
      </c>
      <c r="AD295" s="291" t="s">
        <v>858</v>
      </c>
      <c r="AF295" s="75" t="s">
        <v>47</v>
      </c>
    </row>
    <row r="296" spans="1:32" s="70" customFormat="1">
      <c r="A296" s="70" t="s">
        <v>816</v>
      </c>
      <c r="B296" s="68">
        <v>45659</v>
      </c>
      <c r="C296" s="68">
        <v>45667</v>
      </c>
      <c r="D296" s="68">
        <v>45963</v>
      </c>
      <c r="E296" s="68">
        <v>46074</v>
      </c>
      <c r="F296" s="68">
        <v>46045</v>
      </c>
      <c r="H296" s="70">
        <v>250</v>
      </c>
      <c r="I296" s="70">
        <v>250</v>
      </c>
      <c r="J296" s="69">
        <f t="shared" si="32"/>
        <v>1</v>
      </c>
      <c r="L296" s="69">
        <f t="shared" si="33"/>
        <v>0</v>
      </c>
      <c r="N296" s="70" t="s">
        <v>57</v>
      </c>
      <c r="O296" s="70" t="s">
        <v>821</v>
      </c>
      <c r="P296" s="70" t="s">
        <v>67</v>
      </c>
      <c r="Q296" s="70" t="s">
        <v>37</v>
      </c>
      <c r="R296" s="70" t="s">
        <v>38</v>
      </c>
      <c r="S296" s="97">
        <v>300</v>
      </c>
      <c r="T296" s="70" t="s">
        <v>52</v>
      </c>
      <c r="V296" s="70">
        <v>1</v>
      </c>
      <c r="W296" s="70" t="s">
        <v>53</v>
      </c>
      <c r="Y296" s="70" t="s">
        <v>44</v>
      </c>
      <c r="AA296" s="70" t="s">
        <v>44</v>
      </c>
      <c r="AB296" s="70" t="s">
        <v>47</v>
      </c>
      <c r="AC296" s="70" t="s">
        <v>854</v>
      </c>
      <c r="AD296" s="291" t="s">
        <v>859</v>
      </c>
      <c r="AF296" s="75" t="s">
        <v>47</v>
      </c>
    </row>
    <row r="297" spans="1:32" s="70" customFormat="1">
      <c r="A297" s="70" t="s">
        <v>816</v>
      </c>
      <c r="B297" s="68">
        <v>45659</v>
      </c>
      <c r="C297" s="68">
        <v>45667</v>
      </c>
      <c r="D297" s="68">
        <v>45963</v>
      </c>
      <c r="E297" s="68">
        <v>46074</v>
      </c>
      <c r="F297" s="68">
        <v>46045</v>
      </c>
      <c r="H297" s="70">
        <v>250</v>
      </c>
      <c r="I297" s="70">
        <v>250</v>
      </c>
      <c r="J297" s="69">
        <f t="shared" si="32"/>
        <v>1</v>
      </c>
      <c r="L297" s="69">
        <f t="shared" si="33"/>
        <v>0</v>
      </c>
      <c r="N297" s="70" t="s">
        <v>57</v>
      </c>
      <c r="O297" s="70" t="s">
        <v>821</v>
      </c>
      <c r="P297" s="70" t="s">
        <v>69</v>
      </c>
      <c r="Q297" s="70" t="s">
        <v>37</v>
      </c>
      <c r="R297" s="70" t="s">
        <v>38</v>
      </c>
      <c r="S297" s="97">
        <v>300</v>
      </c>
      <c r="T297" s="70" t="s">
        <v>52</v>
      </c>
      <c r="V297" s="70">
        <v>1</v>
      </c>
      <c r="W297" s="70" t="s">
        <v>53</v>
      </c>
      <c r="Y297" s="70" t="s">
        <v>44</v>
      </c>
      <c r="AA297" s="70" t="s">
        <v>44</v>
      </c>
      <c r="AB297" s="70" t="s">
        <v>47</v>
      </c>
      <c r="AC297" s="70" t="s">
        <v>854</v>
      </c>
      <c r="AD297" s="291" t="s">
        <v>860</v>
      </c>
      <c r="AF297" s="75" t="s">
        <v>47</v>
      </c>
    </row>
    <row r="298" spans="1:32" s="70" customFormat="1">
      <c r="A298" s="70" t="s">
        <v>816</v>
      </c>
      <c r="B298" s="68">
        <v>45659</v>
      </c>
      <c r="C298" s="68">
        <v>45667</v>
      </c>
      <c r="D298" s="68">
        <v>45963</v>
      </c>
      <c r="E298" s="68">
        <v>46074</v>
      </c>
      <c r="F298" s="68">
        <v>46045</v>
      </c>
      <c r="H298" s="70">
        <v>250</v>
      </c>
      <c r="I298" s="70">
        <v>250</v>
      </c>
      <c r="J298" s="69">
        <f t="shared" si="32"/>
        <v>1</v>
      </c>
      <c r="L298" s="69">
        <f t="shared" si="33"/>
        <v>0</v>
      </c>
      <c r="N298" s="70" t="s">
        <v>57</v>
      </c>
      <c r="O298" s="70" t="s">
        <v>821</v>
      </c>
      <c r="P298" s="70" t="s">
        <v>419</v>
      </c>
      <c r="Q298" s="70" t="s">
        <v>37</v>
      </c>
      <c r="R298" s="70" t="s">
        <v>38</v>
      </c>
      <c r="S298" s="97">
        <v>300</v>
      </c>
      <c r="T298" s="70" t="s">
        <v>52</v>
      </c>
      <c r="V298" s="70">
        <v>1</v>
      </c>
      <c r="W298" s="70" t="s">
        <v>53</v>
      </c>
      <c r="Y298" s="70" t="s">
        <v>44</v>
      </c>
      <c r="AA298" s="70" t="s">
        <v>44</v>
      </c>
      <c r="AB298" s="70" t="s">
        <v>47</v>
      </c>
      <c r="AC298" s="70" t="s">
        <v>854</v>
      </c>
      <c r="AD298" s="291" t="s">
        <v>861</v>
      </c>
      <c r="AF298" s="75" t="s">
        <v>47</v>
      </c>
    </row>
    <row r="299" spans="1:32" s="70" customFormat="1">
      <c r="A299" s="70" t="s">
        <v>816</v>
      </c>
      <c r="B299" s="68">
        <v>45659</v>
      </c>
      <c r="C299" s="68">
        <v>45667</v>
      </c>
      <c r="D299" s="68">
        <v>45963</v>
      </c>
      <c r="E299" s="68">
        <v>46074</v>
      </c>
      <c r="F299" s="68">
        <v>46045</v>
      </c>
      <c r="H299" s="70">
        <v>250</v>
      </c>
      <c r="I299" s="70">
        <v>250</v>
      </c>
      <c r="J299" s="69">
        <f t="shared" si="32"/>
        <v>1</v>
      </c>
      <c r="L299" s="69">
        <f t="shared" si="33"/>
        <v>0</v>
      </c>
      <c r="N299" s="70" t="s">
        <v>57</v>
      </c>
      <c r="O299" s="70" t="s">
        <v>830</v>
      </c>
      <c r="P299" s="70" t="s">
        <v>59</v>
      </c>
      <c r="Q299" s="70" t="s">
        <v>37</v>
      </c>
      <c r="R299" s="70" t="s">
        <v>38</v>
      </c>
      <c r="S299" s="97">
        <v>300</v>
      </c>
      <c r="T299" s="70" t="s">
        <v>52</v>
      </c>
      <c r="V299" s="70">
        <v>1</v>
      </c>
      <c r="W299" s="70" t="s">
        <v>53</v>
      </c>
      <c r="Y299" s="70" t="s">
        <v>44</v>
      </c>
      <c r="AA299" s="70" t="s">
        <v>44</v>
      </c>
      <c r="AB299" s="70" t="s">
        <v>47</v>
      </c>
      <c r="AC299" s="70" t="s">
        <v>854</v>
      </c>
      <c r="AD299" s="291" t="s">
        <v>862</v>
      </c>
      <c r="AF299" s="75" t="s">
        <v>47</v>
      </c>
    </row>
    <row r="300" spans="1:32" s="70" customFormat="1">
      <c r="A300" s="70" t="s">
        <v>816</v>
      </c>
      <c r="B300" s="68">
        <v>45659</v>
      </c>
      <c r="C300" s="68">
        <v>45667</v>
      </c>
      <c r="D300" s="68">
        <v>45963</v>
      </c>
      <c r="E300" s="68">
        <v>46074</v>
      </c>
      <c r="F300" s="68">
        <v>46045</v>
      </c>
      <c r="H300" s="70">
        <v>250</v>
      </c>
      <c r="I300" s="70">
        <v>250</v>
      </c>
      <c r="J300" s="69">
        <f t="shared" si="32"/>
        <v>1</v>
      </c>
      <c r="L300" s="69">
        <f t="shared" si="33"/>
        <v>0</v>
      </c>
      <c r="N300" s="70" t="s">
        <v>57</v>
      </c>
      <c r="O300" s="70" t="s">
        <v>830</v>
      </c>
      <c r="P300" s="70" t="s">
        <v>62</v>
      </c>
      <c r="Q300" s="70" t="s">
        <v>37</v>
      </c>
      <c r="R300" s="70" t="s">
        <v>38</v>
      </c>
      <c r="S300" s="97">
        <v>300</v>
      </c>
      <c r="T300" s="70" t="s">
        <v>52</v>
      </c>
      <c r="V300" s="70">
        <v>1</v>
      </c>
      <c r="W300" s="70" t="s">
        <v>53</v>
      </c>
      <c r="Y300" s="70" t="s">
        <v>44</v>
      </c>
      <c r="AA300" s="70" t="s">
        <v>44</v>
      </c>
      <c r="AB300" s="70" t="s">
        <v>47</v>
      </c>
      <c r="AC300" s="70" t="s">
        <v>854</v>
      </c>
      <c r="AD300" s="291" t="s">
        <v>856</v>
      </c>
      <c r="AF300" s="75" t="s">
        <v>47</v>
      </c>
    </row>
    <row r="301" spans="1:32" s="70" customFormat="1">
      <c r="A301" s="70" t="s">
        <v>816</v>
      </c>
      <c r="B301" s="68">
        <v>45659</v>
      </c>
      <c r="C301" s="68">
        <v>45667</v>
      </c>
      <c r="D301" s="68">
        <v>45963</v>
      </c>
      <c r="E301" s="68">
        <v>46074</v>
      </c>
      <c r="F301" s="68">
        <v>46045</v>
      </c>
      <c r="H301" s="70">
        <v>250</v>
      </c>
      <c r="I301" s="70">
        <v>250</v>
      </c>
      <c r="J301" s="69">
        <f t="shared" si="32"/>
        <v>1</v>
      </c>
      <c r="L301" s="69">
        <f t="shared" si="33"/>
        <v>0</v>
      </c>
      <c r="N301" s="70" t="s">
        <v>57</v>
      </c>
      <c r="O301" s="70" t="s">
        <v>830</v>
      </c>
      <c r="P301" s="128" t="s">
        <v>63</v>
      </c>
      <c r="Q301" s="70" t="s">
        <v>37</v>
      </c>
      <c r="R301" s="70" t="s">
        <v>38</v>
      </c>
      <c r="S301" s="97">
        <v>300</v>
      </c>
      <c r="T301" s="70" t="s">
        <v>52</v>
      </c>
      <c r="V301" s="70">
        <v>1</v>
      </c>
      <c r="W301" s="70" t="s">
        <v>53</v>
      </c>
      <c r="Y301" s="70" t="s">
        <v>44</v>
      </c>
      <c r="AA301" s="70" t="s">
        <v>44</v>
      </c>
      <c r="AB301" s="70" t="s">
        <v>47</v>
      </c>
      <c r="AC301" s="70" t="s">
        <v>854</v>
      </c>
      <c r="AD301" s="291" t="s">
        <v>857</v>
      </c>
      <c r="AF301" s="75" t="s">
        <v>47</v>
      </c>
    </row>
    <row r="302" spans="1:32" s="70" customFormat="1">
      <c r="A302" s="70" t="s">
        <v>816</v>
      </c>
      <c r="B302" s="68">
        <v>45659</v>
      </c>
      <c r="C302" s="68">
        <v>45667</v>
      </c>
      <c r="D302" s="68">
        <v>45963</v>
      </c>
      <c r="E302" s="68">
        <v>46074</v>
      </c>
      <c r="F302" s="68">
        <v>46045</v>
      </c>
      <c r="H302" s="70">
        <v>250</v>
      </c>
      <c r="I302" s="70">
        <v>250</v>
      </c>
      <c r="J302" s="69">
        <f t="shared" si="32"/>
        <v>1</v>
      </c>
      <c r="L302" s="69">
        <f t="shared" si="33"/>
        <v>0</v>
      </c>
      <c r="N302" s="70" t="s">
        <v>57</v>
      </c>
      <c r="O302" s="70" t="s">
        <v>830</v>
      </c>
      <c r="P302" s="70" t="s">
        <v>69</v>
      </c>
      <c r="Q302" s="70" t="s">
        <v>37</v>
      </c>
      <c r="R302" s="70" t="s">
        <v>38</v>
      </c>
      <c r="S302" s="97">
        <v>300</v>
      </c>
      <c r="T302" s="70" t="s">
        <v>52</v>
      </c>
      <c r="V302" s="70">
        <v>1</v>
      </c>
      <c r="W302" s="70" t="s">
        <v>53</v>
      </c>
      <c r="Y302" s="70" t="s">
        <v>44</v>
      </c>
      <c r="AA302" s="70" t="s">
        <v>44</v>
      </c>
      <c r="AB302" s="70" t="s">
        <v>47</v>
      </c>
      <c r="AC302" s="70" t="s">
        <v>854</v>
      </c>
      <c r="AD302" s="291" t="s">
        <v>860</v>
      </c>
      <c r="AF302" s="75" t="s">
        <v>47</v>
      </c>
    </row>
    <row r="303" spans="1:32" s="70" customFormat="1">
      <c r="A303" s="70" t="s">
        <v>816</v>
      </c>
      <c r="B303" s="68">
        <v>45659</v>
      </c>
      <c r="C303" s="68">
        <v>45667</v>
      </c>
      <c r="D303" s="68">
        <v>45963</v>
      </c>
      <c r="E303" s="68">
        <v>46074</v>
      </c>
      <c r="F303" s="68">
        <v>46045</v>
      </c>
      <c r="H303" s="70">
        <v>250</v>
      </c>
      <c r="I303" s="70">
        <v>250</v>
      </c>
      <c r="J303" s="69">
        <f t="shared" si="32"/>
        <v>1</v>
      </c>
      <c r="L303" s="69">
        <f t="shared" si="33"/>
        <v>0</v>
      </c>
      <c r="N303" s="70" t="s">
        <v>57</v>
      </c>
      <c r="O303" s="70" t="s">
        <v>830</v>
      </c>
      <c r="P303" s="70" t="s">
        <v>419</v>
      </c>
      <c r="Q303" s="70" t="s">
        <v>37</v>
      </c>
      <c r="R303" s="70" t="s">
        <v>38</v>
      </c>
      <c r="S303" s="97">
        <v>300</v>
      </c>
      <c r="T303" s="70" t="s">
        <v>52</v>
      </c>
      <c r="V303" s="70">
        <v>1</v>
      </c>
      <c r="W303" s="70" t="s">
        <v>53</v>
      </c>
      <c r="Y303" s="70" t="s">
        <v>44</v>
      </c>
      <c r="AA303" s="70" t="s">
        <v>44</v>
      </c>
      <c r="AB303" s="70" t="s">
        <v>47</v>
      </c>
      <c r="AC303" s="70" t="s">
        <v>854</v>
      </c>
      <c r="AD303" s="291" t="s">
        <v>863</v>
      </c>
      <c r="AF303" s="75" t="s">
        <v>47</v>
      </c>
    </row>
    <row r="304" spans="1:32" s="70" customFormat="1">
      <c r="A304" s="70" t="s">
        <v>816</v>
      </c>
      <c r="B304" s="68">
        <v>45659</v>
      </c>
      <c r="C304" s="68">
        <v>45667</v>
      </c>
      <c r="D304" s="68">
        <v>45690</v>
      </c>
      <c r="E304" s="68">
        <v>46053</v>
      </c>
      <c r="F304" s="68">
        <v>45672</v>
      </c>
      <c r="H304" s="70">
        <v>5000</v>
      </c>
      <c r="I304" s="70">
        <v>5000</v>
      </c>
      <c r="J304" s="118">
        <f t="shared" si="32"/>
        <v>1</v>
      </c>
      <c r="L304" s="118">
        <f t="shared" si="33"/>
        <v>0</v>
      </c>
      <c r="M304" s="70" t="s">
        <v>33</v>
      </c>
      <c r="N304" s="70" t="s">
        <v>57</v>
      </c>
      <c r="O304" s="70" t="s">
        <v>104</v>
      </c>
      <c r="P304" s="70" t="s">
        <v>62</v>
      </c>
      <c r="Q304" s="70" t="s">
        <v>37</v>
      </c>
      <c r="R304" s="70" t="s">
        <v>38</v>
      </c>
      <c r="S304" s="70">
        <v>5000</v>
      </c>
      <c r="T304" s="70" t="s">
        <v>77</v>
      </c>
      <c r="V304" s="70">
        <v>1</v>
      </c>
      <c r="W304" s="70" t="s">
        <v>53</v>
      </c>
      <c r="Y304" s="70" t="s">
        <v>44</v>
      </c>
      <c r="AA304" s="70" t="s">
        <v>44</v>
      </c>
      <c r="AB304" s="70" t="s">
        <v>47</v>
      </c>
      <c r="AC304" s="70" t="s">
        <v>864</v>
      </c>
      <c r="AD304" s="291" t="s">
        <v>865</v>
      </c>
      <c r="AE304" s="70" t="s">
        <v>107</v>
      </c>
      <c r="AF304" s="75" t="s">
        <v>47</v>
      </c>
    </row>
    <row r="305" spans="1:32" s="70" customFormat="1">
      <c r="A305" s="70" t="s">
        <v>866</v>
      </c>
      <c r="B305" s="68">
        <v>45666</v>
      </c>
      <c r="C305" s="68">
        <v>45666</v>
      </c>
      <c r="D305" s="68">
        <v>45690</v>
      </c>
      <c r="E305" s="68">
        <v>46418</v>
      </c>
      <c r="F305" s="68">
        <v>45690</v>
      </c>
      <c r="H305" s="70">
        <v>500</v>
      </c>
      <c r="I305" s="70">
        <v>500</v>
      </c>
      <c r="J305" s="148">
        <v>1</v>
      </c>
      <c r="L305" s="118">
        <f t="shared" ref="L305" si="34">K305/H305</f>
        <v>0</v>
      </c>
      <c r="M305" s="107" t="s">
        <v>72</v>
      </c>
      <c r="N305" s="70" t="s">
        <v>867</v>
      </c>
      <c r="O305" s="70" t="s">
        <v>564</v>
      </c>
      <c r="P305" s="70" t="s">
        <v>868</v>
      </c>
      <c r="Q305" s="70" t="s">
        <v>37</v>
      </c>
      <c r="R305" s="70" t="s">
        <v>38</v>
      </c>
      <c r="S305" s="70">
        <v>500</v>
      </c>
      <c r="T305" s="70">
        <v>1</v>
      </c>
      <c r="W305" s="70" t="s">
        <v>53</v>
      </c>
      <c r="Y305" s="70" t="s">
        <v>44</v>
      </c>
      <c r="Z305" s="70" t="s">
        <v>869</v>
      </c>
      <c r="AA305" s="70" t="s">
        <v>47</v>
      </c>
      <c r="AB305" s="70" t="s">
        <v>47</v>
      </c>
      <c r="AC305" s="70" t="s">
        <v>870</v>
      </c>
      <c r="AD305" s="291" t="s">
        <v>871</v>
      </c>
      <c r="AF305" s="75" t="s">
        <v>47</v>
      </c>
    </row>
    <row r="306" spans="1:32" s="70" customFormat="1">
      <c r="A306" s="70" t="s">
        <v>872</v>
      </c>
      <c r="B306" s="68">
        <v>45671</v>
      </c>
      <c r="C306" s="68">
        <v>45695</v>
      </c>
      <c r="D306" s="68">
        <v>45707</v>
      </c>
      <c r="E306" s="68">
        <v>45712</v>
      </c>
      <c r="F306" s="68">
        <v>45705</v>
      </c>
      <c r="I306" s="70">
        <v>800</v>
      </c>
      <c r="K306" s="70">
        <v>313</v>
      </c>
      <c r="M306" s="70" t="s">
        <v>72</v>
      </c>
      <c r="N306" s="70" t="s">
        <v>473</v>
      </c>
      <c r="O306" s="70" t="s">
        <v>262</v>
      </c>
      <c r="P306" s="70" t="s">
        <v>873</v>
      </c>
      <c r="Q306" s="70" t="s">
        <v>37</v>
      </c>
      <c r="R306" s="70" t="s">
        <v>88</v>
      </c>
      <c r="U306" s="70" t="s">
        <v>874</v>
      </c>
      <c r="V306" s="70">
        <v>1</v>
      </c>
      <c r="W306" s="70" t="s">
        <v>53</v>
      </c>
      <c r="Y306" s="70" t="s">
        <v>47</v>
      </c>
      <c r="Z306" s="70" t="s">
        <v>162</v>
      </c>
      <c r="AA306" s="70" t="s">
        <v>44</v>
      </c>
      <c r="AB306" s="70" t="s">
        <v>44</v>
      </c>
      <c r="AC306" s="70" t="s">
        <v>875</v>
      </c>
      <c r="AD306" s="291" t="s">
        <v>876</v>
      </c>
      <c r="AF306" s="75" t="s">
        <v>47</v>
      </c>
    </row>
    <row r="307" spans="1:32" s="70" customFormat="1">
      <c r="A307" s="70" t="s">
        <v>872</v>
      </c>
      <c r="B307" s="68">
        <v>45673</v>
      </c>
      <c r="C307" s="68">
        <v>45678</v>
      </c>
      <c r="D307" s="68">
        <v>45685</v>
      </c>
      <c r="E307" s="68">
        <v>45691</v>
      </c>
      <c r="F307" s="68"/>
      <c r="G307" s="68"/>
      <c r="H307" s="147">
        <v>1000000</v>
      </c>
      <c r="I307" s="70">
        <v>25000</v>
      </c>
      <c r="J307" s="69">
        <v>0.02</v>
      </c>
      <c r="K307" s="146"/>
      <c r="L307" s="114"/>
      <c r="M307" s="70" t="s">
        <v>72</v>
      </c>
      <c r="N307" s="70" t="s">
        <v>136</v>
      </c>
      <c r="O307" s="70" t="s">
        <v>507</v>
      </c>
      <c r="P307" s="70" t="s">
        <v>877</v>
      </c>
      <c r="Q307" s="70" t="s">
        <v>37</v>
      </c>
      <c r="R307" s="70" t="s">
        <v>88</v>
      </c>
      <c r="U307" s="157" t="s">
        <v>878</v>
      </c>
      <c r="V307" s="70" t="s">
        <v>271</v>
      </c>
      <c r="W307" s="70" t="s">
        <v>53</v>
      </c>
      <c r="X307" s="70" t="s">
        <v>44</v>
      </c>
      <c r="Y307" s="70" t="s">
        <v>44</v>
      </c>
      <c r="Z307" s="70" t="s">
        <v>879</v>
      </c>
      <c r="AA307" s="70" t="s">
        <v>44</v>
      </c>
      <c r="AB307" s="70" t="s">
        <v>47</v>
      </c>
      <c r="AC307" s="174" t="s">
        <v>880</v>
      </c>
      <c r="AD307" s="291" t="s">
        <v>881</v>
      </c>
      <c r="AE307" s="96"/>
      <c r="AF307" s="75" t="s">
        <v>47</v>
      </c>
    </row>
    <row r="308" spans="1:32" s="70" customFormat="1" ht="29.1">
      <c r="A308" s="70" t="s">
        <v>872</v>
      </c>
      <c r="B308" s="68">
        <v>45673</v>
      </c>
      <c r="C308" s="68">
        <v>45678</v>
      </c>
      <c r="D308" s="68">
        <v>45691</v>
      </c>
      <c r="E308" s="68">
        <v>45838</v>
      </c>
      <c r="F308" s="68">
        <v>45684</v>
      </c>
      <c r="N308" s="70" t="s">
        <v>136</v>
      </c>
      <c r="O308" s="70" t="s">
        <v>882</v>
      </c>
      <c r="P308" s="70" t="s">
        <v>883</v>
      </c>
      <c r="Q308" s="70" t="s">
        <v>37</v>
      </c>
      <c r="R308" s="70" t="s">
        <v>38</v>
      </c>
      <c r="S308" s="97">
        <v>500000</v>
      </c>
      <c r="T308" s="70" t="s">
        <v>77</v>
      </c>
      <c r="W308" s="70" t="s">
        <v>53</v>
      </c>
      <c r="X308" s="70" t="s">
        <v>44</v>
      </c>
      <c r="Y308" s="70" t="s">
        <v>47</v>
      </c>
      <c r="Z308" s="70" t="s">
        <v>162</v>
      </c>
      <c r="AA308" s="70" t="s">
        <v>44</v>
      </c>
      <c r="AB308" s="70" t="s">
        <v>47</v>
      </c>
      <c r="AC308" s="70" t="s">
        <v>884</v>
      </c>
      <c r="AD308" s="291" t="s">
        <v>885</v>
      </c>
      <c r="AE308" s="96" t="s">
        <v>886</v>
      </c>
      <c r="AF308" s="75" t="s">
        <v>47</v>
      </c>
    </row>
    <row r="309" spans="1:32" s="70" customFormat="1" ht="29.1">
      <c r="A309" s="70" t="s">
        <v>872</v>
      </c>
      <c r="B309" s="68">
        <v>45673</v>
      </c>
      <c r="C309" s="68">
        <v>45678</v>
      </c>
      <c r="D309" s="68">
        <v>45691</v>
      </c>
      <c r="E309" s="68">
        <v>45838</v>
      </c>
      <c r="F309" s="68">
        <v>45684</v>
      </c>
      <c r="N309" s="70" t="s">
        <v>136</v>
      </c>
      <c r="O309" s="70" t="s">
        <v>882</v>
      </c>
      <c r="P309" s="70" t="s">
        <v>887</v>
      </c>
      <c r="Q309" s="70" t="s">
        <v>37</v>
      </c>
      <c r="R309" s="70" t="s">
        <v>38</v>
      </c>
      <c r="S309" s="97">
        <v>500000</v>
      </c>
      <c r="T309" s="70" t="s">
        <v>77</v>
      </c>
      <c r="W309" s="70" t="s">
        <v>53</v>
      </c>
      <c r="X309" s="70" t="s">
        <v>44</v>
      </c>
      <c r="Y309" s="70" t="s">
        <v>47</v>
      </c>
      <c r="Z309" s="70" t="s">
        <v>579</v>
      </c>
      <c r="AA309" s="70" t="s">
        <v>44</v>
      </c>
      <c r="AB309" s="70" t="s">
        <v>47</v>
      </c>
      <c r="AC309" s="96" t="s">
        <v>888</v>
      </c>
      <c r="AD309" s="291" t="s">
        <v>885</v>
      </c>
      <c r="AE309" s="96" t="s">
        <v>815</v>
      </c>
      <c r="AF309" s="75" t="s">
        <v>47</v>
      </c>
    </row>
    <row r="310" spans="1:32" s="70" customFormat="1" ht="29.1">
      <c r="A310" s="70" t="s">
        <v>872</v>
      </c>
      <c r="B310" s="68">
        <v>45673</v>
      </c>
      <c r="C310" s="68">
        <v>45678</v>
      </c>
      <c r="D310" s="68">
        <v>45691</v>
      </c>
      <c r="E310" s="68">
        <v>46022</v>
      </c>
      <c r="F310" s="68">
        <v>45684</v>
      </c>
      <c r="N310" s="70" t="s">
        <v>136</v>
      </c>
      <c r="O310" s="70" t="s">
        <v>882</v>
      </c>
      <c r="P310" s="70" t="s">
        <v>889</v>
      </c>
      <c r="Q310" s="70" t="s">
        <v>37</v>
      </c>
      <c r="R310" s="70" t="s">
        <v>38</v>
      </c>
      <c r="S310" s="97">
        <v>900000</v>
      </c>
      <c r="T310" s="70" t="s">
        <v>77</v>
      </c>
      <c r="W310" s="70" t="s">
        <v>53</v>
      </c>
      <c r="X310" s="70" t="s">
        <v>44</v>
      </c>
      <c r="Y310" s="70" t="s">
        <v>47</v>
      </c>
      <c r="Z310" s="70" t="s">
        <v>579</v>
      </c>
      <c r="AA310" s="70" t="s">
        <v>44</v>
      </c>
      <c r="AB310" s="70" t="s">
        <v>47</v>
      </c>
      <c r="AC310" s="96" t="s">
        <v>890</v>
      </c>
      <c r="AD310" s="291" t="s">
        <v>885</v>
      </c>
      <c r="AE310" s="96" t="s">
        <v>891</v>
      </c>
      <c r="AF310" s="75" t="s">
        <v>47</v>
      </c>
    </row>
    <row r="311" spans="1:32" s="70" customFormat="1">
      <c r="A311" s="70" t="s">
        <v>872</v>
      </c>
      <c r="B311" s="68">
        <v>45673</v>
      </c>
      <c r="C311" s="68">
        <v>45678</v>
      </c>
      <c r="D311" s="68">
        <v>45691</v>
      </c>
      <c r="E311" s="68">
        <v>46022</v>
      </c>
      <c r="F311" s="68">
        <v>45684</v>
      </c>
      <c r="H311" s="147"/>
      <c r="J311" s="69"/>
      <c r="K311" s="146"/>
      <c r="L311" s="114"/>
      <c r="N311" s="70" t="s">
        <v>136</v>
      </c>
      <c r="O311" s="70" t="s">
        <v>749</v>
      </c>
      <c r="P311" s="70" t="s">
        <v>892</v>
      </c>
      <c r="Q311" s="70" t="s">
        <v>37</v>
      </c>
      <c r="R311" s="70" t="s">
        <v>38</v>
      </c>
      <c r="S311" s="146">
        <v>300000</v>
      </c>
      <c r="T311" s="70" t="s">
        <v>77</v>
      </c>
      <c r="U311" s="66"/>
      <c r="W311" s="70" t="s">
        <v>53</v>
      </c>
      <c r="X311" s="70" t="s">
        <v>44</v>
      </c>
      <c r="Y311" s="70" t="s">
        <v>44</v>
      </c>
      <c r="Z311" s="70" t="s">
        <v>651</v>
      </c>
      <c r="AA311" s="70" t="s">
        <v>44</v>
      </c>
      <c r="AB311" s="70" t="s">
        <v>47</v>
      </c>
      <c r="AC311" s="70" t="s">
        <v>893</v>
      </c>
      <c r="AD311" s="291" t="s">
        <v>894</v>
      </c>
      <c r="AE311" s="96"/>
      <c r="AF311" s="75" t="s">
        <v>47</v>
      </c>
    </row>
    <row r="312" spans="1:32" s="70" customFormat="1" ht="45.75">
      <c r="A312" s="70" t="s">
        <v>895</v>
      </c>
      <c r="B312" s="68">
        <v>45692</v>
      </c>
      <c r="C312" s="68">
        <v>45692</v>
      </c>
      <c r="D312" s="68">
        <v>45702</v>
      </c>
      <c r="E312" s="68">
        <v>45706</v>
      </c>
      <c r="F312" s="68">
        <v>45698</v>
      </c>
      <c r="G312" s="68"/>
      <c r="H312" s="147">
        <v>1000000</v>
      </c>
      <c r="I312" s="70">
        <v>25000</v>
      </c>
      <c r="J312" s="69">
        <v>0.02</v>
      </c>
      <c r="K312" s="146"/>
      <c r="L312" s="114"/>
      <c r="M312" s="70" t="s">
        <v>72</v>
      </c>
      <c r="N312" s="70" t="s">
        <v>136</v>
      </c>
      <c r="O312" s="70" t="s">
        <v>507</v>
      </c>
      <c r="P312" s="70" t="s">
        <v>817</v>
      </c>
      <c r="Q312" s="70" t="s">
        <v>37</v>
      </c>
      <c r="R312" s="70" t="s">
        <v>88</v>
      </c>
      <c r="U312" s="157" t="s">
        <v>142</v>
      </c>
      <c r="V312" s="70" t="s">
        <v>271</v>
      </c>
      <c r="W312" s="70" t="s">
        <v>53</v>
      </c>
      <c r="X312" s="70" t="s">
        <v>44</v>
      </c>
      <c r="Y312" s="70" t="s">
        <v>44</v>
      </c>
      <c r="Z312" s="70" t="s">
        <v>43</v>
      </c>
      <c r="AA312" s="70" t="s">
        <v>44</v>
      </c>
      <c r="AB312" s="70" t="s">
        <v>47</v>
      </c>
      <c r="AC312" s="174" t="s">
        <v>896</v>
      </c>
      <c r="AD312" s="300" t="s">
        <v>897</v>
      </c>
      <c r="AE312" s="96"/>
      <c r="AF312" s="75" t="s">
        <v>47</v>
      </c>
    </row>
    <row r="313" spans="1:32" s="70" customFormat="1" ht="57.95">
      <c r="A313" s="70" t="s">
        <v>895</v>
      </c>
      <c r="B313" s="68">
        <v>45692</v>
      </c>
      <c r="C313" s="68">
        <v>45694</v>
      </c>
      <c r="D313" s="68">
        <v>45702</v>
      </c>
      <c r="E313" s="68">
        <v>46071</v>
      </c>
      <c r="F313" s="68">
        <v>45698</v>
      </c>
      <c r="H313" s="97"/>
      <c r="I313" s="97"/>
      <c r="J313" s="69"/>
      <c r="L313" s="69"/>
      <c r="N313" s="70" t="s">
        <v>136</v>
      </c>
      <c r="O313" s="70" t="s">
        <v>898</v>
      </c>
      <c r="P313" s="190" t="s">
        <v>899</v>
      </c>
      <c r="Q313" s="70" t="s">
        <v>37</v>
      </c>
      <c r="R313" s="70" t="s">
        <v>38</v>
      </c>
      <c r="S313" s="97">
        <v>300000</v>
      </c>
      <c r="T313" s="70" t="s">
        <v>77</v>
      </c>
      <c r="W313" s="70" t="s">
        <v>53</v>
      </c>
      <c r="X313" s="70" t="s">
        <v>44</v>
      </c>
      <c r="Y313" s="70" t="s">
        <v>44</v>
      </c>
      <c r="Z313" s="70" t="s">
        <v>487</v>
      </c>
      <c r="AA313" s="70" t="s">
        <v>44</v>
      </c>
      <c r="AB313" s="70" t="s">
        <v>47</v>
      </c>
      <c r="AC313" s="70" t="s">
        <v>900</v>
      </c>
      <c r="AD313" s="291" t="s">
        <v>901</v>
      </c>
      <c r="AE313" s="96"/>
      <c r="AF313" s="75" t="s">
        <v>47</v>
      </c>
    </row>
    <row r="314" spans="1:32" s="70" customFormat="1">
      <c r="A314" s="70" t="s">
        <v>895</v>
      </c>
      <c r="B314" s="68">
        <v>45692</v>
      </c>
      <c r="C314" s="68">
        <v>45694</v>
      </c>
      <c r="D314" s="68">
        <v>45702</v>
      </c>
      <c r="E314" s="68">
        <v>46071</v>
      </c>
      <c r="F314" s="68">
        <v>45698</v>
      </c>
      <c r="N314" s="70" t="s">
        <v>136</v>
      </c>
      <c r="O314" s="70" t="s">
        <v>898</v>
      </c>
      <c r="P314" s="70" t="s">
        <v>902</v>
      </c>
      <c r="Q314" s="70" t="s">
        <v>37</v>
      </c>
      <c r="R314" s="70" t="s">
        <v>38</v>
      </c>
      <c r="S314" s="97">
        <v>900000</v>
      </c>
      <c r="T314" s="70" t="s">
        <v>77</v>
      </c>
      <c r="W314" s="70" t="s">
        <v>53</v>
      </c>
      <c r="X314" s="70" t="s">
        <v>44</v>
      </c>
      <c r="Y314" s="70" t="s">
        <v>44</v>
      </c>
      <c r="Z314" s="70" t="s">
        <v>487</v>
      </c>
      <c r="AA314" s="70" t="s">
        <v>44</v>
      </c>
      <c r="AB314" s="70" t="s">
        <v>47</v>
      </c>
      <c r="AC314" s="96" t="s">
        <v>903</v>
      </c>
      <c r="AD314" s="291" t="s">
        <v>904</v>
      </c>
      <c r="AE314" s="96"/>
      <c r="AF314" s="75" t="s">
        <v>47</v>
      </c>
    </row>
    <row r="315" spans="1:32" s="70" customFormat="1" ht="15">
      <c r="A315" s="70" t="s">
        <v>895</v>
      </c>
      <c r="B315" s="68">
        <v>45694</v>
      </c>
      <c r="C315" s="68">
        <v>45702</v>
      </c>
      <c r="D315" s="68">
        <v>45708</v>
      </c>
      <c r="E315" s="68">
        <v>45767</v>
      </c>
      <c r="F315" s="68">
        <v>45706</v>
      </c>
      <c r="I315" s="70">
        <v>200</v>
      </c>
      <c r="K315" s="70">
        <v>39</v>
      </c>
      <c r="M315" s="70" t="s">
        <v>72</v>
      </c>
      <c r="N315" s="70" t="s">
        <v>473</v>
      </c>
      <c r="O315" s="70" t="s">
        <v>262</v>
      </c>
      <c r="P315" s="70" t="s">
        <v>905</v>
      </c>
      <c r="Q315" s="70" t="s">
        <v>76</v>
      </c>
      <c r="R315" s="70" t="s">
        <v>88</v>
      </c>
      <c r="U315" s="70" t="s">
        <v>602</v>
      </c>
      <c r="V315" s="70">
        <v>1</v>
      </c>
      <c r="W315" s="70" t="s">
        <v>53</v>
      </c>
      <c r="X315" s="70" t="s">
        <v>44</v>
      </c>
      <c r="Y315" s="70" t="s">
        <v>47</v>
      </c>
      <c r="Z315" s="70" t="s">
        <v>906</v>
      </c>
      <c r="AA315" s="70" t="s">
        <v>44</v>
      </c>
      <c r="AB315" s="70" t="s">
        <v>47</v>
      </c>
      <c r="AC315" s="70" t="s">
        <v>603</v>
      </c>
      <c r="AD315" s="291" t="s">
        <v>907</v>
      </c>
      <c r="AF315" s="75" t="s">
        <v>47</v>
      </c>
    </row>
    <row r="316" spans="1:32" s="70" customFormat="1">
      <c r="A316" s="70" t="s">
        <v>895</v>
      </c>
      <c r="B316" s="68">
        <v>45695</v>
      </c>
      <c r="C316" s="68">
        <v>45700</v>
      </c>
      <c r="D316" s="68">
        <v>45727</v>
      </c>
      <c r="E316" s="68">
        <v>45762</v>
      </c>
      <c r="F316" s="68">
        <v>45705</v>
      </c>
      <c r="I316" s="70">
        <v>200</v>
      </c>
      <c r="M316" s="70" t="s">
        <v>72</v>
      </c>
      <c r="N316" s="70" t="s">
        <v>473</v>
      </c>
      <c r="O316" s="70" t="s">
        <v>262</v>
      </c>
      <c r="P316" s="70" t="s">
        <v>905</v>
      </c>
      <c r="Q316" s="70" t="s">
        <v>76</v>
      </c>
      <c r="R316" s="70" t="s">
        <v>38</v>
      </c>
      <c r="S316" s="70">
        <v>1000</v>
      </c>
      <c r="T316" s="70" t="s">
        <v>110</v>
      </c>
      <c r="W316" s="70" t="s">
        <v>53</v>
      </c>
      <c r="X316" s="70" t="s">
        <v>44</v>
      </c>
      <c r="Y316" s="70" t="s">
        <v>47</v>
      </c>
      <c r="Z316" s="70" t="s">
        <v>906</v>
      </c>
      <c r="AA316" s="70" t="s">
        <v>44</v>
      </c>
      <c r="AB316" s="70" t="s">
        <v>47</v>
      </c>
      <c r="AC316" s="70" t="s">
        <v>908</v>
      </c>
      <c r="AD316" s="291" t="s">
        <v>909</v>
      </c>
      <c r="AF316" s="75" t="s">
        <v>47</v>
      </c>
    </row>
    <row r="317" spans="1:32" s="70" customFormat="1" ht="60.75">
      <c r="A317" s="70" t="s">
        <v>910</v>
      </c>
      <c r="B317" s="68">
        <v>45707</v>
      </c>
      <c r="C317" s="68">
        <v>45708</v>
      </c>
      <c r="D317" s="68">
        <v>45717</v>
      </c>
      <c r="E317" s="68">
        <v>45718</v>
      </c>
      <c r="F317" s="68">
        <v>45712</v>
      </c>
      <c r="H317" s="147">
        <v>1000000</v>
      </c>
      <c r="I317" s="70">
        <v>3500</v>
      </c>
      <c r="J317" s="118">
        <f>+I317/H317</f>
        <v>3.5000000000000001E-3</v>
      </c>
      <c r="K317" s="146"/>
      <c r="L317" s="114"/>
      <c r="M317" s="70" t="s">
        <v>72</v>
      </c>
      <c r="N317" s="70" t="s">
        <v>136</v>
      </c>
      <c r="O317" s="70" t="s">
        <v>507</v>
      </c>
      <c r="P317" s="70" t="s">
        <v>911</v>
      </c>
      <c r="Q317" s="70" t="s">
        <v>76</v>
      </c>
      <c r="R317" s="70" t="s">
        <v>88</v>
      </c>
      <c r="U317" s="66" t="s">
        <v>912</v>
      </c>
      <c r="V317" s="70" t="s">
        <v>271</v>
      </c>
      <c r="W317" s="70" t="s">
        <v>53</v>
      </c>
      <c r="X317" s="70" t="s">
        <v>44</v>
      </c>
      <c r="Y317" s="70" t="s">
        <v>44</v>
      </c>
      <c r="Z317" s="70" t="s">
        <v>913</v>
      </c>
      <c r="AA317" s="70" t="s">
        <v>44</v>
      </c>
      <c r="AB317" s="70" t="s">
        <v>47</v>
      </c>
      <c r="AC317" s="70" t="s">
        <v>914</v>
      </c>
      <c r="AD317" s="300" t="s">
        <v>915</v>
      </c>
      <c r="AF317" s="75" t="s">
        <v>47</v>
      </c>
    </row>
    <row r="318" spans="1:32" s="70" customFormat="1">
      <c r="A318" s="70" t="s">
        <v>916</v>
      </c>
      <c r="B318" s="68">
        <v>45713</v>
      </c>
      <c r="C318" s="68">
        <v>45744</v>
      </c>
      <c r="D318" s="68">
        <v>45762</v>
      </c>
      <c r="E318" s="68">
        <v>45771</v>
      </c>
      <c r="F318" s="68">
        <v>45758</v>
      </c>
      <c r="I318" s="70">
        <v>150</v>
      </c>
      <c r="K318" s="70">
        <v>342</v>
      </c>
      <c r="M318" s="70" t="s">
        <v>72</v>
      </c>
      <c r="N318" s="70" t="s">
        <v>473</v>
      </c>
      <c r="O318" s="70" t="s">
        <v>262</v>
      </c>
      <c r="P318" s="70" t="s">
        <v>917</v>
      </c>
      <c r="Q318" s="70" t="s">
        <v>37</v>
      </c>
      <c r="R318" s="70" t="s">
        <v>88</v>
      </c>
      <c r="U318" s="70" t="s">
        <v>619</v>
      </c>
      <c r="V318" s="70">
        <v>1</v>
      </c>
      <c r="W318" s="70" t="s">
        <v>53</v>
      </c>
      <c r="Y318" s="70" t="s">
        <v>47</v>
      </c>
      <c r="Z318" s="70" t="s">
        <v>918</v>
      </c>
      <c r="AA318" s="70" t="s">
        <v>44</v>
      </c>
      <c r="AB318" s="70" t="s">
        <v>44</v>
      </c>
      <c r="AC318" s="70" t="s">
        <v>621</v>
      </c>
      <c r="AD318" s="291" t="s">
        <v>919</v>
      </c>
      <c r="AF318" s="75" t="s">
        <v>47</v>
      </c>
    </row>
    <row r="319" spans="1:32" s="70" customFormat="1">
      <c r="A319" s="70" t="s">
        <v>916</v>
      </c>
      <c r="B319" s="68">
        <v>45713</v>
      </c>
      <c r="C319" s="68">
        <v>45723</v>
      </c>
      <c r="D319" s="68">
        <v>45734</v>
      </c>
      <c r="E319" s="68">
        <v>45762</v>
      </c>
      <c r="F319" s="68">
        <v>45730</v>
      </c>
      <c r="I319" s="70">
        <v>400</v>
      </c>
      <c r="K319" s="70">
        <v>1615</v>
      </c>
      <c r="M319" s="70" t="s">
        <v>72</v>
      </c>
      <c r="N319" s="70" t="s">
        <v>473</v>
      </c>
      <c r="O319" s="70" t="s">
        <v>262</v>
      </c>
      <c r="P319" s="70" t="s">
        <v>920</v>
      </c>
      <c r="Q319" s="70" t="s">
        <v>37</v>
      </c>
      <c r="R319" s="70" t="s">
        <v>88</v>
      </c>
      <c r="U319" s="70" t="s">
        <v>516</v>
      </c>
      <c r="V319" s="70">
        <v>1</v>
      </c>
      <c r="W319" s="70" t="s">
        <v>53</v>
      </c>
      <c r="Y319" s="70" t="s">
        <v>47</v>
      </c>
      <c r="Z319" s="70" t="s">
        <v>918</v>
      </c>
      <c r="AA319" s="70" t="s">
        <v>44</v>
      </c>
      <c r="AB319" s="70" t="s">
        <v>44</v>
      </c>
      <c r="AC319" s="70" t="s">
        <v>517</v>
      </c>
      <c r="AD319" s="291" t="s">
        <v>921</v>
      </c>
      <c r="AF319" s="75" t="s">
        <v>47</v>
      </c>
    </row>
    <row r="320" spans="1:32" s="70" customFormat="1" ht="62.25" customHeight="1">
      <c r="A320" s="70" t="s">
        <v>922</v>
      </c>
      <c r="B320" s="68">
        <v>45719</v>
      </c>
      <c r="C320" s="68">
        <v>45720</v>
      </c>
      <c r="D320" s="68">
        <v>45725</v>
      </c>
      <c r="E320" s="68">
        <v>45729</v>
      </c>
      <c r="F320" s="68">
        <v>45723</v>
      </c>
      <c r="N320" s="70" t="s">
        <v>136</v>
      </c>
      <c r="O320" s="70" t="s">
        <v>749</v>
      </c>
      <c r="P320" s="96" t="s">
        <v>923</v>
      </c>
      <c r="Q320" s="70" t="s">
        <v>37</v>
      </c>
      <c r="R320" s="70" t="s">
        <v>88</v>
      </c>
      <c r="S320" s="97"/>
      <c r="T320" s="70" t="s">
        <v>77</v>
      </c>
      <c r="U320" s="70" t="s">
        <v>924</v>
      </c>
      <c r="V320" s="70">
        <v>1</v>
      </c>
      <c r="W320" s="70" t="s">
        <v>53</v>
      </c>
      <c r="X320" s="70" t="s">
        <v>44</v>
      </c>
      <c r="Y320" s="70" t="s">
        <v>47</v>
      </c>
      <c r="Z320" s="70" t="s">
        <v>579</v>
      </c>
      <c r="AA320" s="70" t="s">
        <v>44</v>
      </c>
      <c r="AB320" s="70" t="s">
        <v>47</v>
      </c>
      <c r="AC320" s="96" t="s">
        <v>925</v>
      </c>
      <c r="AD320" s="300" t="s">
        <v>926</v>
      </c>
      <c r="AE320" s="96"/>
      <c r="AF320" s="75" t="s">
        <v>47</v>
      </c>
    </row>
    <row r="321" spans="1:32" s="70" customFormat="1" ht="43.5">
      <c r="A321" s="70" t="s">
        <v>927</v>
      </c>
      <c r="B321" s="68">
        <v>45741</v>
      </c>
      <c r="C321" s="68">
        <v>45743</v>
      </c>
      <c r="D321" s="68">
        <v>45763</v>
      </c>
      <c r="E321" s="68">
        <v>46234</v>
      </c>
      <c r="F321" s="68">
        <v>45748</v>
      </c>
      <c r="N321" s="70" t="s">
        <v>136</v>
      </c>
      <c r="O321" s="70" t="s">
        <v>882</v>
      </c>
      <c r="P321" s="96" t="s">
        <v>928</v>
      </c>
      <c r="Q321" s="70" t="s">
        <v>37</v>
      </c>
      <c r="R321" s="70" t="s">
        <v>38</v>
      </c>
      <c r="S321" s="97">
        <v>500000</v>
      </c>
      <c r="T321" s="70" t="s">
        <v>77</v>
      </c>
      <c r="V321" s="70">
        <v>1</v>
      </c>
      <c r="W321" s="70" t="s">
        <v>53</v>
      </c>
      <c r="X321" s="70" t="s">
        <v>44</v>
      </c>
      <c r="Y321" s="70" t="s">
        <v>44</v>
      </c>
      <c r="Z321" s="70" t="s">
        <v>162</v>
      </c>
      <c r="AA321" s="70" t="s">
        <v>44</v>
      </c>
      <c r="AB321" s="70" t="s">
        <v>47</v>
      </c>
      <c r="AC321" s="70" t="s">
        <v>929</v>
      </c>
      <c r="AD321" s="291"/>
      <c r="AE321" s="96"/>
      <c r="AF321" s="75" t="s">
        <v>47</v>
      </c>
    </row>
    <row r="322" spans="1:32" s="70" customFormat="1" ht="29.1">
      <c r="A322" s="70" t="s">
        <v>927</v>
      </c>
      <c r="B322" s="68">
        <v>45741</v>
      </c>
      <c r="C322" s="68">
        <v>45743</v>
      </c>
      <c r="D322" s="68">
        <v>45751</v>
      </c>
      <c r="E322" s="68">
        <v>45753</v>
      </c>
      <c r="F322" s="68">
        <v>45748</v>
      </c>
      <c r="N322" s="70" t="s">
        <v>136</v>
      </c>
      <c r="O322" s="70" t="s">
        <v>74</v>
      </c>
      <c r="P322" s="96" t="s">
        <v>930</v>
      </c>
      <c r="Q322" s="70" t="s">
        <v>76</v>
      </c>
      <c r="R322" s="70" t="s">
        <v>88</v>
      </c>
      <c r="U322" s="66" t="s">
        <v>931</v>
      </c>
      <c r="V322" s="70" t="s">
        <v>271</v>
      </c>
      <c r="W322" s="70" t="s">
        <v>53</v>
      </c>
      <c r="X322" s="70" t="s">
        <v>44</v>
      </c>
      <c r="Y322" s="70" t="s">
        <v>44</v>
      </c>
      <c r="Z322" s="70" t="s">
        <v>454</v>
      </c>
      <c r="AA322" s="70" t="s">
        <v>44</v>
      </c>
      <c r="AB322" s="70" t="s">
        <v>47</v>
      </c>
      <c r="AC322" s="70" t="s">
        <v>932</v>
      </c>
      <c r="AD322" s="291"/>
      <c r="AE322" s="96"/>
      <c r="AF322" s="75" t="s">
        <v>47</v>
      </c>
    </row>
    <row r="323" spans="1:32" s="231" customFormat="1" ht="30.75">
      <c r="A323" s="231" t="s">
        <v>927</v>
      </c>
      <c r="B323" s="232">
        <v>45741</v>
      </c>
      <c r="C323" s="232">
        <v>45743</v>
      </c>
      <c r="D323" s="232">
        <v>45758</v>
      </c>
      <c r="E323" s="232">
        <v>46125</v>
      </c>
      <c r="F323" s="232">
        <v>45751</v>
      </c>
      <c r="N323" s="231" t="s">
        <v>136</v>
      </c>
      <c r="O323" s="231" t="s">
        <v>74</v>
      </c>
      <c r="P323" s="231" t="s">
        <v>933</v>
      </c>
      <c r="Q323" s="231" t="s">
        <v>76</v>
      </c>
      <c r="R323" s="231" t="s">
        <v>88</v>
      </c>
      <c r="U323" s="235" t="s">
        <v>366</v>
      </c>
      <c r="V323" s="231" t="s">
        <v>271</v>
      </c>
      <c r="W323" s="231" t="s">
        <v>53</v>
      </c>
      <c r="X323" s="231" t="s">
        <v>44</v>
      </c>
      <c r="Y323" s="231" t="s">
        <v>44</v>
      </c>
      <c r="Z323" s="231" t="s">
        <v>913</v>
      </c>
      <c r="AA323" s="231" t="s">
        <v>44</v>
      </c>
      <c r="AB323" s="231" t="s">
        <v>47</v>
      </c>
      <c r="AC323" s="231" t="s">
        <v>934</v>
      </c>
      <c r="AD323" s="301" t="s">
        <v>935</v>
      </c>
      <c r="AE323" s="236" t="s">
        <v>936</v>
      </c>
      <c r="AF323" s="234" t="s">
        <v>47</v>
      </c>
    </row>
    <row r="324" spans="1:32" s="70" customFormat="1">
      <c r="A324" s="70" t="s">
        <v>927</v>
      </c>
      <c r="B324" s="68">
        <v>45742</v>
      </c>
      <c r="C324" s="68">
        <v>45765</v>
      </c>
      <c r="D324" s="68">
        <v>45783</v>
      </c>
      <c r="E324" s="68">
        <v>45793</v>
      </c>
      <c r="F324" s="68">
        <v>45777</v>
      </c>
      <c r="I324" s="70">
        <v>330</v>
      </c>
      <c r="K324" s="70">
        <v>1175</v>
      </c>
      <c r="M324" s="70" t="s">
        <v>72</v>
      </c>
      <c r="N324" s="70" t="s">
        <v>473</v>
      </c>
      <c r="O324" s="70" t="s">
        <v>262</v>
      </c>
      <c r="P324" s="70" t="s">
        <v>873</v>
      </c>
      <c r="Q324" s="70" t="s">
        <v>37</v>
      </c>
      <c r="R324" s="70" t="s">
        <v>88</v>
      </c>
      <c r="U324" s="94" t="s">
        <v>937</v>
      </c>
      <c r="V324" s="70">
        <v>1</v>
      </c>
      <c r="W324" s="70" t="s">
        <v>53</v>
      </c>
      <c r="Y324" s="70" t="s">
        <v>47</v>
      </c>
      <c r="Z324" s="70" t="s">
        <v>735</v>
      </c>
      <c r="AA324" s="70" t="s">
        <v>44</v>
      </c>
      <c r="AB324" s="70" t="s">
        <v>44</v>
      </c>
      <c r="AC324" s="70" t="s">
        <v>938</v>
      </c>
      <c r="AD324" s="291" t="s">
        <v>939</v>
      </c>
      <c r="AF324" s="75" t="s">
        <v>47</v>
      </c>
    </row>
    <row r="325" spans="1:32" s="70" customFormat="1">
      <c r="A325" s="70" t="s">
        <v>927</v>
      </c>
      <c r="B325" s="68">
        <v>45742</v>
      </c>
      <c r="C325" s="68">
        <v>45779</v>
      </c>
      <c r="D325" s="68">
        <v>45804</v>
      </c>
      <c r="E325" s="68">
        <v>45817</v>
      </c>
      <c r="F325" s="68">
        <v>45798</v>
      </c>
      <c r="I325" s="70">
        <v>550</v>
      </c>
      <c r="M325" s="70" t="s">
        <v>72</v>
      </c>
      <c r="N325" s="70" t="s">
        <v>473</v>
      </c>
      <c r="O325" s="70" t="s">
        <v>262</v>
      </c>
      <c r="P325" s="70" t="s">
        <v>940</v>
      </c>
      <c r="Q325" s="70" t="s">
        <v>37</v>
      </c>
      <c r="R325" s="70" t="s">
        <v>88</v>
      </c>
      <c r="U325" s="70" t="s">
        <v>941</v>
      </c>
      <c r="V325" s="70">
        <v>1</v>
      </c>
      <c r="W325" s="70" t="s">
        <v>53</v>
      </c>
      <c r="Y325" s="70" t="s">
        <v>47</v>
      </c>
      <c r="Z325" s="70" t="s">
        <v>735</v>
      </c>
      <c r="AA325" s="70" t="s">
        <v>44</v>
      </c>
      <c r="AB325" s="70" t="s">
        <v>44</v>
      </c>
      <c r="AC325" s="70" t="s">
        <v>942</v>
      </c>
      <c r="AD325" s="291" t="s">
        <v>943</v>
      </c>
      <c r="AF325" s="75" t="s">
        <v>47</v>
      </c>
    </row>
    <row r="326" spans="1:32" s="70" customFormat="1">
      <c r="A326" s="70" t="s">
        <v>927</v>
      </c>
      <c r="B326" s="68">
        <v>45742</v>
      </c>
      <c r="C326" s="68">
        <v>45793</v>
      </c>
      <c r="D326" s="68">
        <v>45825</v>
      </c>
      <c r="E326" s="68">
        <v>45828</v>
      </c>
      <c r="F326" s="68">
        <v>45819</v>
      </c>
      <c r="I326" s="70">
        <v>350</v>
      </c>
      <c r="M326" s="70" t="s">
        <v>33</v>
      </c>
      <c r="N326" s="70" t="s">
        <v>473</v>
      </c>
      <c r="O326" s="70" t="s">
        <v>262</v>
      </c>
      <c r="P326" s="70" t="s">
        <v>873</v>
      </c>
      <c r="Q326" s="70" t="s">
        <v>37</v>
      </c>
      <c r="R326" s="70" t="s">
        <v>88</v>
      </c>
      <c r="U326" s="94" t="s">
        <v>944</v>
      </c>
      <c r="V326" s="70">
        <v>1</v>
      </c>
      <c r="W326" s="70" t="s">
        <v>53</v>
      </c>
      <c r="Y326" s="70" t="s">
        <v>47</v>
      </c>
      <c r="Z326" s="70" t="s">
        <v>735</v>
      </c>
      <c r="AA326" s="70" t="s">
        <v>44</v>
      </c>
      <c r="AB326" s="70" t="s">
        <v>44</v>
      </c>
      <c r="AC326" s="70" t="s">
        <v>945</v>
      </c>
      <c r="AD326" s="291" t="s">
        <v>946</v>
      </c>
      <c r="AF326" s="75" t="s">
        <v>47</v>
      </c>
    </row>
    <row r="327" spans="1:32" s="70" customFormat="1">
      <c r="A327" s="70" t="s">
        <v>927</v>
      </c>
      <c r="B327" s="68">
        <v>45748</v>
      </c>
      <c r="C327" s="68">
        <v>45748</v>
      </c>
      <c r="D327" s="68">
        <v>45783</v>
      </c>
      <c r="E327" s="68">
        <v>46146</v>
      </c>
      <c r="F327" s="68">
        <v>45751</v>
      </c>
      <c r="H327" s="147"/>
      <c r="J327" s="118"/>
      <c r="K327" s="146"/>
      <c r="L327" s="114"/>
      <c r="N327" s="70" t="s">
        <v>136</v>
      </c>
      <c r="O327" s="70" t="s">
        <v>882</v>
      </c>
      <c r="P327" s="70" t="s">
        <v>947</v>
      </c>
      <c r="Q327" s="70" t="s">
        <v>37</v>
      </c>
      <c r="R327" s="70" t="s">
        <v>38</v>
      </c>
      <c r="S327" s="146">
        <v>1000000</v>
      </c>
      <c r="T327" s="70" t="s">
        <v>77</v>
      </c>
      <c r="U327" s="66"/>
      <c r="V327" s="70">
        <v>1</v>
      </c>
      <c r="W327" s="70" t="s">
        <v>53</v>
      </c>
      <c r="X327" s="70" t="s">
        <v>44</v>
      </c>
      <c r="Y327" s="70" t="s">
        <v>47</v>
      </c>
      <c r="Z327" s="70" t="s">
        <v>651</v>
      </c>
      <c r="AA327" s="70" t="s">
        <v>44</v>
      </c>
      <c r="AB327" s="70" t="s">
        <v>47</v>
      </c>
      <c r="AC327" s="70" t="s">
        <v>948</v>
      </c>
      <c r="AD327" s="291" t="s">
        <v>949</v>
      </c>
      <c r="AF327" s="75" t="s">
        <v>47</v>
      </c>
    </row>
    <row r="328" spans="1:32" s="70" customFormat="1" ht="60.75">
      <c r="A328" s="70" t="s">
        <v>927</v>
      </c>
      <c r="B328" s="68">
        <v>45748</v>
      </c>
      <c r="C328" s="117">
        <f>D328-14</f>
        <v>45768</v>
      </c>
      <c r="D328" s="68">
        <v>45782</v>
      </c>
      <c r="E328" s="68">
        <v>45782</v>
      </c>
      <c r="F328" s="68">
        <v>45778</v>
      </c>
      <c r="J328" s="118"/>
      <c r="L328" s="118"/>
      <c r="M328" s="70" t="s">
        <v>33</v>
      </c>
      <c r="N328" s="70" t="s">
        <v>136</v>
      </c>
      <c r="O328" s="70" t="s">
        <v>74</v>
      </c>
      <c r="P328" s="70" t="s">
        <v>287</v>
      </c>
      <c r="Q328" s="70" t="s">
        <v>76</v>
      </c>
      <c r="R328" s="70" t="s">
        <v>88</v>
      </c>
      <c r="U328" s="70" t="s">
        <v>288</v>
      </c>
      <c r="V328" s="70" t="s">
        <v>271</v>
      </c>
      <c r="W328" s="70" t="s">
        <v>53</v>
      </c>
      <c r="X328" s="70" t="s">
        <v>44</v>
      </c>
      <c r="Y328" s="70" t="s">
        <v>44</v>
      </c>
      <c r="Z328" s="70" t="s">
        <v>289</v>
      </c>
      <c r="AA328" s="70" t="s">
        <v>44</v>
      </c>
      <c r="AB328" s="70" t="s">
        <v>47</v>
      </c>
      <c r="AC328" s="70" t="s">
        <v>290</v>
      </c>
      <c r="AD328" s="300" t="s">
        <v>950</v>
      </c>
      <c r="AE328" s="70" t="s">
        <v>936</v>
      </c>
      <c r="AF328" s="75" t="s">
        <v>47</v>
      </c>
    </row>
    <row r="329" spans="1:32" s="70" customFormat="1">
      <c r="A329" s="70" t="s">
        <v>951</v>
      </c>
      <c r="B329" s="68">
        <v>45763</v>
      </c>
      <c r="C329" s="117">
        <v>45768</v>
      </c>
      <c r="D329" s="68">
        <v>45777</v>
      </c>
      <c r="E329" s="68">
        <v>45780</v>
      </c>
      <c r="F329" s="68">
        <v>45770</v>
      </c>
      <c r="I329" s="70">
        <v>30</v>
      </c>
      <c r="J329" s="118"/>
      <c r="K329" s="70">
        <v>7</v>
      </c>
      <c r="L329" s="118"/>
      <c r="M329" s="70" t="s">
        <v>72</v>
      </c>
      <c r="N329" s="70" t="s">
        <v>473</v>
      </c>
      <c r="O329" s="70" t="s">
        <v>262</v>
      </c>
      <c r="P329" s="70" t="s">
        <v>952</v>
      </c>
      <c r="Q329" s="70" t="s">
        <v>37</v>
      </c>
      <c r="R329" s="70" t="s">
        <v>88</v>
      </c>
      <c r="U329" s="70" t="s">
        <v>953</v>
      </c>
      <c r="V329" s="70" t="s">
        <v>271</v>
      </c>
      <c r="W329" s="70" t="s">
        <v>53</v>
      </c>
      <c r="X329" s="70" t="s">
        <v>44</v>
      </c>
      <c r="Y329" s="70" t="s">
        <v>44</v>
      </c>
      <c r="Z329" s="70" t="s">
        <v>954</v>
      </c>
      <c r="AA329" s="70" t="s">
        <v>44</v>
      </c>
      <c r="AB329" s="70" t="s">
        <v>47</v>
      </c>
      <c r="AC329" s="70" t="s">
        <v>955</v>
      </c>
      <c r="AD329" s="291" t="s">
        <v>956</v>
      </c>
      <c r="AF329" s="75" t="s">
        <v>47</v>
      </c>
    </row>
    <row r="330" spans="1:32" s="70" customFormat="1">
      <c r="A330" s="70" t="s">
        <v>957</v>
      </c>
      <c r="B330" s="68">
        <v>45765</v>
      </c>
      <c r="C330" s="68">
        <v>45769</v>
      </c>
      <c r="D330" s="68">
        <v>45772</v>
      </c>
      <c r="E330" s="68">
        <v>46146</v>
      </c>
      <c r="F330" s="68">
        <v>45772</v>
      </c>
      <c r="H330" s="147"/>
      <c r="J330" s="118"/>
      <c r="K330" s="146"/>
      <c r="L330" s="114"/>
      <c r="N330" s="70" t="s">
        <v>136</v>
      </c>
      <c r="O330" s="70" t="s">
        <v>882</v>
      </c>
      <c r="P330" s="70" t="s">
        <v>958</v>
      </c>
      <c r="Q330" s="70" t="s">
        <v>37</v>
      </c>
      <c r="R330" s="70" t="s">
        <v>38</v>
      </c>
      <c r="S330" s="146">
        <v>1000000</v>
      </c>
      <c r="T330" s="70" t="s">
        <v>77</v>
      </c>
      <c r="U330" s="66"/>
      <c r="V330" s="70">
        <v>1</v>
      </c>
      <c r="W330" s="70" t="s">
        <v>53</v>
      </c>
      <c r="X330" s="70" t="s">
        <v>44</v>
      </c>
      <c r="Y330" s="70" t="s">
        <v>44</v>
      </c>
      <c r="Z330" s="70" t="s">
        <v>651</v>
      </c>
      <c r="AA330" s="70" t="s">
        <v>44</v>
      </c>
      <c r="AB330" s="70" t="s">
        <v>47</v>
      </c>
      <c r="AC330" s="70" t="s">
        <v>959</v>
      </c>
      <c r="AD330" s="291" t="s">
        <v>949</v>
      </c>
      <c r="AE330" s="70" t="s">
        <v>960</v>
      </c>
      <c r="AF330" s="75" t="s">
        <v>47</v>
      </c>
    </row>
    <row r="331" spans="1:32" s="70" customFormat="1">
      <c r="A331" s="70" t="s">
        <v>961</v>
      </c>
      <c r="B331" s="68">
        <v>45775</v>
      </c>
      <c r="C331" s="68">
        <v>45778</v>
      </c>
      <c r="D331" s="68">
        <v>45784</v>
      </c>
      <c r="E331" s="68">
        <v>45930</v>
      </c>
      <c r="F331" s="68">
        <v>45782</v>
      </c>
      <c r="I331" s="70">
        <v>60</v>
      </c>
      <c r="M331" s="70" t="s">
        <v>72</v>
      </c>
      <c r="N331" s="70" t="s">
        <v>962</v>
      </c>
      <c r="O331" s="70" t="s">
        <v>496</v>
      </c>
      <c r="P331" s="70" t="s">
        <v>963</v>
      </c>
      <c r="Q331" s="70" t="s">
        <v>37</v>
      </c>
      <c r="R331" s="70" t="s">
        <v>38</v>
      </c>
      <c r="S331" s="70">
        <v>25000</v>
      </c>
      <c r="T331" s="70" t="s">
        <v>77</v>
      </c>
      <c r="W331" s="70" t="s">
        <v>53</v>
      </c>
      <c r="X331" s="70" t="s">
        <v>44</v>
      </c>
      <c r="Y331" s="70" t="s">
        <v>47</v>
      </c>
      <c r="Z331" s="70" t="s">
        <v>964</v>
      </c>
      <c r="AA331" s="70" t="s">
        <v>44</v>
      </c>
      <c r="AB331" s="70" t="s">
        <v>44</v>
      </c>
      <c r="AC331" s="70" t="s">
        <v>965</v>
      </c>
      <c r="AD331" s="291" t="s">
        <v>966</v>
      </c>
      <c r="AF331" s="75" t="s">
        <v>47</v>
      </c>
    </row>
    <row r="332" spans="1:32" s="70" customFormat="1">
      <c r="A332" s="70" t="s">
        <v>961</v>
      </c>
      <c r="B332" s="68">
        <v>45775</v>
      </c>
      <c r="C332" s="68">
        <v>45778</v>
      </c>
      <c r="D332" s="68">
        <v>45784</v>
      </c>
      <c r="E332" s="68">
        <v>45930</v>
      </c>
      <c r="F332" s="68">
        <v>45782</v>
      </c>
      <c r="I332" s="70">
        <v>40</v>
      </c>
      <c r="M332" s="70" t="s">
        <v>72</v>
      </c>
      <c r="N332" s="70" t="s">
        <v>962</v>
      </c>
      <c r="O332" s="70" t="s">
        <v>496</v>
      </c>
      <c r="P332" s="70" t="s">
        <v>967</v>
      </c>
      <c r="Q332" s="70" t="s">
        <v>37</v>
      </c>
      <c r="R332" s="70" t="s">
        <v>38</v>
      </c>
      <c r="S332" s="70">
        <v>10000</v>
      </c>
      <c r="T332" s="70" t="s">
        <v>77</v>
      </c>
      <c r="W332" s="70" t="s">
        <v>53</v>
      </c>
      <c r="X332" s="70" t="s">
        <v>44</v>
      </c>
      <c r="Y332" s="70" t="s">
        <v>44</v>
      </c>
      <c r="Z332" s="70" t="s">
        <v>968</v>
      </c>
      <c r="AA332" s="70" t="s">
        <v>44</v>
      </c>
      <c r="AB332" s="70" t="s">
        <v>47</v>
      </c>
      <c r="AC332" s="70" t="s">
        <v>969</v>
      </c>
      <c r="AD332" s="291" t="s">
        <v>970</v>
      </c>
      <c r="AF332" s="75" t="s">
        <v>47</v>
      </c>
    </row>
    <row r="333" spans="1:32" s="231" customFormat="1">
      <c r="A333" s="231" t="s">
        <v>971</v>
      </c>
      <c r="B333" s="232">
        <v>45782</v>
      </c>
      <c r="C333" s="232">
        <v>45783</v>
      </c>
      <c r="D333" s="232">
        <v>45797</v>
      </c>
      <c r="E333" s="232">
        <v>45798</v>
      </c>
      <c r="F333" s="232">
        <v>45793</v>
      </c>
      <c r="M333" s="231" t="s">
        <v>33</v>
      </c>
      <c r="N333" s="231" t="s">
        <v>136</v>
      </c>
      <c r="O333" s="231" t="s">
        <v>74</v>
      </c>
      <c r="P333" s="231" t="s">
        <v>972</v>
      </c>
      <c r="Q333" s="231" t="s">
        <v>76</v>
      </c>
      <c r="U333" s="231" t="s">
        <v>973</v>
      </c>
      <c r="V333" s="231" t="s">
        <v>271</v>
      </c>
      <c r="W333" s="231" t="s">
        <v>53</v>
      </c>
      <c r="X333" s="231" t="s">
        <v>44</v>
      </c>
      <c r="Y333" s="231" t="s">
        <v>44</v>
      </c>
      <c r="Z333" s="231" t="s">
        <v>454</v>
      </c>
      <c r="AA333" s="231" t="s">
        <v>44</v>
      </c>
      <c r="AB333" s="231" t="s">
        <v>47</v>
      </c>
      <c r="AC333" s="231" t="s">
        <v>974</v>
      </c>
      <c r="AD333" s="301" t="s">
        <v>975</v>
      </c>
      <c r="AF333" s="234" t="s">
        <v>47</v>
      </c>
    </row>
    <row r="334" spans="1:32" s="70" customFormat="1">
      <c r="A334" s="70" t="s">
        <v>971</v>
      </c>
      <c r="B334" s="68">
        <v>45782</v>
      </c>
      <c r="C334" s="68">
        <v>45783</v>
      </c>
      <c r="D334" s="68">
        <v>45799</v>
      </c>
      <c r="E334" s="68">
        <v>45802</v>
      </c>
      <c r="F334" s="68">
        <v>45793</v>
      </c>
      <c r="M334" s="70" t="s">
        <v>33</v>
      </c>
      <c r="N334" s="70" t="s">
        <v>136</v>
      </c>
      <c r="O334" s="70" t="s">
        <v>74</v>
      </c>
      <c r="P334" s="70" t="s">
        <v>976</v>
      </c>
      <c r="Q334" s="70" t="s">
        <v>76</v>
      </c>
      <c r="U334" s="70" t="s">
        <v>977</v>
      </c>
      <c r="V334" s="70" t="s">
        <v>271</v>
      </c>
      <c r="W334" s="70" t="s">
        <v>53</v>
      </c>
      <c r="X334" s="70" t="s">
        <v>44</v>
      </c>
      <c r="Y334" s="70" t="s">
        <v>44</v>
      </c>
      <c r="Z334" s="70" t="s">
        <v>43</v>
      </c>
      <c r="AA334" s="70" t="s">
        <v>44</v>
      </c>
      <c r="AB334" s="70" t="s">
        <v>47</v>
      </c>
      <c r="AC334" s="70" t="s">
        <v>978</v>
      </c>
      <c r="AD334" s="291" t="s">
        <v>979</v>
      </c>
      <c r="AF334" s="75" t="s">
        <v>47</v>
      </c>
    </row>
    <row r="335" spans="1:32" s="70" customFormat="1" ht="43.5">
      <c r="A335" s="70" t="s">
        <v>440</v>
      </c>
      <c r="B335" s="68">
        <v>45784</v>
      </c>
      <c r="C335" s="68">
        <v>45785</v>
      </c>
      <c r="D335" s="68">
        <v>45790</v>
      </c>
      <c r="E335" s="68">
        <v>45892</v>
      </c>
      <c r="F335" s="68">
        <v>45772</v>
      </c>
      <c r="H335" s="70">
        <v>250</v>
      </c>
      <c r="I335" s="70">
        <v>250</v>
      </c>
      <c r="J335" s="69">
        <f t="shared" ref="J335" si="35">+I335/H335</f>
        <v>1</v>
      </c>
      <c r="L335" s="69">
        <f t="shared" ref="L335" si="36">K335/H335</f>
        <v>0</v>
      </c>
      <c r="N335" s="70" t="s">
        <v>57</v>
      </c>
      <c r="O335" s="70" t="s">
        <v>821</v>
      </c>
      <c r="P335" s="70" t="s">
        <v>847</v>
      </c>
      <c r="Q335" s="70" t="s">
        <v>37</v>
      </c>
      <c r="R335" s="70" t="s">
        <v>38</v>
      </c>
      <c r="S335" s="97">
        <v>300</v>
      </c>
      <c r="T335" s="70" t="s">
        <v>52</v>
      </c>
      <c r="V335" s="70">
        <v>1</v>
      </c>
      <c r="W335" s="70" t="s">
        <v>53</v>
      </c>
      <c r="Y335" s="70" t="s">
        <v>44</v>
      </c>
      <c r="AA335" s="70" t="s">
        <v>44</v>
      </c>
      <c r="AB335" s="70" t="s">
        <v>47</v>
      </c>
      <c r="AD335" s="291" t="s">
        <v>837</v>
      </c>
      <c r="AE335" s="96" t="s">
        <v>980</v>
      </c>
      <c r="AF335" s="75" t="s">
        <v>47</v>
      </c>
    </row>
    <row r="336" spans="1:32" s="70" customFormat="1">
      <c r="A336" s="70" t="s">
        <v>47</v>
      </c>
      <c r="B336" s="68">
        <v>45797</v>
      </c>
      <c r="C336" s="68">
        <v>45797</v>
      </c>
      <c r="D336" s="68">
        <v>45800</v>
      </c>
      <c r="E336" s="68">
        <v>45802</v>
      </c>
      <c r="F336" s="68">
        <v>45797</v>
      </c>
      <c r="M336" s="70" t="s">
        <v>33</v>
      </c>
      <c r="N336" s="70" t="s">
        <v>136</v>
      </c>
      <c r="O336" s="70" t="s">
        <v>74</v>
      </c>
      <c r="P336" s="70" t="s">
        <v>981</v>
      </c>
      <c r="Q336" s="70" t="s">
        <v>76</v>
      </c>
      <c r="U336" s="70" t="s">
        <v>982</v>
      </c>
      <c r="V336" s="70" t="s">
        <v>271</v>
      </c>
      <c r="W336" s="70" t="s">
        <v>53</v>
      </c>
      <c r="X336" s="70" t="s">
        <v>44</v>
      </c>
      <c r="Y336" s="70" t="s">
        <v>44</v>
      </c>
      <c r="Z336" s="70" t="s">
        <v>43</v>
      </c>
      <c r="AA336" s="70" t="s">
        <v>44</v>
      </c>
      <c r="AB336" s="70" t="s">
        <v>47</v>
      </c>
      <c r="AC336" s="172" t="s">
        <v>983</v>
      </c>
      <c r="AD336" s="291" t="s">
        <v>984</v>
      </c>
      <c r="AF336" s="75" t="s">
        <v>47</v>
      </c>
    </row>
    <row r="337" spans="1:32" s="70" customFormat="1">
      <c r="A337" s="70" t="s">
        <v>985</v>
      </c>
      <c r="B337" s="68">
        <v>45805</v>
      </c>
      <c r="C337" s="68">
        <v>45812</v>
      </c>
      <c r="D337" s="68">
        <v>45833</v>
      </c>
      <c r="E337" s="68">
        <v>45834</v>
      </c>
      <c r="F337" s="68">
        <v>45812</v>
      </c>
      <c r="M337" s="70" t="s">
        <v>33</v>
      </c>
      <c r="N337" s="70" t="s">
        <v>140</v>
      </c>
      <c r="O337" s="70" t="s">
        <v>670</v>
      </c>
      <c r="P337" s="70" t="s">
        <v>986</v>
      </c>
      <c r="Q337" s="70" t="s">
        <v>37</v>
      </c>
      <c r="R337" s="70" t="s">
        <v>88</v>
      </c>
      <c r="U337" s="70" t="s">
        <v>987</v>
      </c>
      <c r="V337" s="70" t="s">
        <v>271</v>
      </c>
      <c r="W337" s="70" t="s">
        <v>53</v>
      </c>
      <c r="X337" s="70" t="s">
        <v>44</v>
      </c>
      <c r="Y337" s="70" t="s">
        <v>44</v>
      </c>
      <c r="Z337" s="70" t="s">
        <v>43</v>
      </c>
      <c r="AA337" s="70" t="s">
        <v>44</v>
      </c>
      <c r="AB337" s="70" t="s">
        <v>47</v>
      </c>
      <c r="AC337" s="70" t="s">
        <v>988</v>
      </c>
      <c r="AD337" s="291" t="s">
        <v>989</v>
      </c>
      <c r="AF337" s="112" t="s">
        <v>47</v>
      </c>
    </row>
    <row r="338" spans="1:32" s="231" customFormat="1">
      <c r="A338" s="231" t="s">
        <v>985</v>
      </c>
      <c r="B338" s="232">
        <v>45813</v>
      </c>
      <c r="C338" s="232">
        <v>45817</v>
      </c>
      <c r="D338" s="232">
        <v>45825</v>
      </c>
      <c r="E338" s="232">
        <v>45826</v>
      </c>
      <c r="F338" s="232">
        <v>45817</v>
      </c>
      <c r="M338" s="231" t="s">
        <v>72</v>
      </c>
      <c r="N338" s="231" t="s">
        <v>990</v>
      </c>
      <c r="O338" s="231" t="s">
        <v>74</v>
      </c>
      <c r="P338" s="231" t="s">
        <v>991</v>
      </c>
      <c r="Q338" s="231" t="s">
        <v>76</v>
      </c>
      <c r="R338" s="231" t="s">
        <v>88</v>
      </c>
      <c r="U338" s="231" t="s">
        <v>992</v>
      </c>
      <c r="V338" s="231" t="s">
        <v>271</v>
      </c>
      <c r="W338" s="231" t="s">
        <v>53</v>
      </c>
      <c r="X338" s="231" t="s">
        <v>44</v>
      </c>
      <c r="Y338" s="231" t="s">
        <v>44</v>
      </c>
      <c r="Z338" s="231" t="s">
        <v>43</v>
      </c>
      <c r="AA338" s="231" t="s">
        <v>44</v>
      </c>
      <c r="AB338" s="231" t="s">
        <v>47</v>
      </c>
      <c r="AC338" s="231" t="s">
        <v>993</v>
      </c>
      <c r="AD338" s="301" t="s">
        <v>994</v>
      </c>
      <c r="AF338" s="234" t="s">
        <v>47</v>
      </c>
    </row>
    <row r="339" spans="1:32" s="70" customFormat="1">
      <c r="A339" s="70" t="s">
        <v>985</v>
      </c>
      <c r="B339" s="68">
        <v>45813</v>
      </c>
      <c r="C339" s="68">
        <v>45817</v>
      </c>
      <c r="D339" s="68">
        <v>45827</v>
      </c>
      <c r="E339" s="68">
        <v>45828</v>
      </c>
      <c r="F339" s="68">
        <v>45817</v>
      </c>
      <c r="M339" s="70" t="s">
        <v>72</v>
      </c>
      <c r="N339" s="70" t="s">
        <v>990</v>
      </c>
      <c r="O339" s="70" t="s">
        <v>74</v>
      </c>
      <c r="P339" s="70" t="s">
        <v>995</v>
      </c>
      <c r="Q339" s="70" t="s">
        <v>76</v>
      </c>
      <c r="R339" s="70" t="s">
        <v>88</v>
      </c>
      <c r="U339" s="70" t="s">
        <v>996</v>
      </c>
      <c r="V339" s="70" t="s">
        <v>271</v>
      </c>
      <c r="W339" s="70" t="s">
        <v>53</v>
      </c>
      <c r="X339" s="70" t="s">
        <v>44</v>
      </c>
      <c r="Y339" s="70" t="s">
        <v>44</v>
      </c>
      <c r="Z339" s="70" t="s">
        <v>43</v>
      </c>
      <c r="AA339" s="70" t="s">
        <v>44</v>
      </c>
      <c r="AB339" s="70" t="s">
        <v>47</v>
      </c>
      <c r="AC339" s="70" t="s">
        <v>997</v>
      </c>
      <c r="AD339" s="291" t="s">
        <v>998</v>
      </c>
      <c r="AF339" s="75" t="s">
        <v>47</v>
      </c>
    </row>
    <row r="340" spans="1:32" s="70" customFormat="1">
      <c r="A340" s="70" t="s">
        <v>999</v>
      </c>
      <c r="B340" s="68">
        <v>45832</v>
      </c>
      <c r="C340" s="68">
        <v>45841</v>
      </c>
      <c r="D340" s="68">
        <v>45846</v>
      </c>
      <c r="E340" s="68">
        <v>45849</v>
      </c>
      <c r="F340" s="68">
        <v>45841</v>
      </c>
      <c r="I340" s="70">
        <v>800</v>
      </c>
      <c r="M340" s="70" t="s">
        <v>72</v>
      </c>
      <c r="N340" s="70" t="s">
        <v>473</v>
      </c>
      <c r="O340" s="70" t="s">
        <v>262</v>
      </c>
      <c r="P340" s="70" t="s">
        <v>1000</v>
      </c>
      <c r="Q340" s="70" t="s">
        <v>37</v>
      </c>
      <c r="R340" s="70" t="s">
        <v>88</v>
      </c>
      <c r="U340" s="70" t="s">
        <v>1001</v>
      </c>
      <c r="V340" s="70" t="s">
        <v>271</v>
      </c>
      <c r="W340" s="70" t="s">
        <v>53</v>
      </c>
      <c r="X340" s="70" t="s">
        <v>44</v>
      </c>
      <c r="Y340" s="70" t="s">
        <v>44</v>
      </c>
      <c r="Z340" s="70" t="s">
        <v>1002</v>
      </c>
      <c r="AA340" s="70" t="s">
        <v>44</v>
      </c>
      <c r="AB340" s="70" t="s">
        <v>47</v>
      </c>
      <c r="AC340" s="70" t="s">
        <v>1003</v>
      </c>
      <c r="AD340" s="291" t="s">
        <v>1004</v>
      </c>
      <c r="AF340" s="75" t="s">
        <v>47</v>
      </c>
    </row>
    <row r="341" spans="1:32" s="70" customFormat="1">
      <c r="A341" s="70" t="s">
        <v>1005</v>
      </c>
      <c r="B341" s="68">
        <v>45838</v>
      </c>
      <c r="C341" s="68">
        <v>45875</v>
      </c>
      <c r="D341" s="68">
        <v>45881</v>
      </c>
      <c r="E341" s="68">
        <v>45889</v>
      </c>
      <c r="F341" s="102">
        <v>45877</v>
      </c>
      <c r="I341" s="70">
        <v>300</v>
      </c>
      <c r="M341" s="70" t="s">
        <v>33</v>
      </c>
      <c r="N341" s="70" t="s">
        <v>473</v>
      </c>
      <c r="O341" s="70" t="s">
        <v>262</v>
      </c>
      <c r="P341" s="70" t="s">
        <v>1006</v>
      </c>
      <c r="Q341" s="70" t="s">
        <v>37</v>
      </c>
      <c r="R341" s="70" t="s">
        <v>88</v>
      </c>
      <c r="U341" s="94" t="s">
        <v>1007</v>
      </c>
      <c r="V341" s="70">
        <v>1</v>
      </c>
      <c r="W341" s="70" t="s">
        <v>53</v>
      </c>
      <c r="X341" s="70" t="s">
        <v>44</v>
      </c>
      <c r="Y341" s="70" t="s">
        <v>47</v>
      </c>
      <c r="Z341" s="70" t="s">
        <v>162</v>
      </c>
      <c r="AA341" s="70" t="s">
        <v>44</v>
      </c>
      <c r="AB341" s="70" t="s">
        <v>44</v>
      </c>
      <c r="AC341" s="70" t="s">
        <v>1008</v>
      </c>
      <c r="AD341" s="291" t="s">
        <v>1009</v>
      </c>
      <c r="AF341" s="75" t="s">
        <v>47</v>
      </c>
    </row>
    <row r="342" spans="1:32" s="70" customFormat="1">
      <c r="A342" s="70" t="s">
        <v>47</v>
      </c>
      <c r="B342" s="68">
        <v>45848</v>
      </c>
      <c r="C342" s="68">
        <v>45852</v>
      </c>
      <c r="D342" s="68">
        <v>45853</v>
      </c>
      <c r="E342" s="68">
        <v>46218</v>
      </c>
      <c r="F342" s="68">
        <v>45852</v>
      </c>
      <c r="H342" s="70">
        <v>700</v>
      </c>
      <c r="I342" s="70">
        <v>400</v>
      </c>
      <c r="J342" s="148">
        <v>0.5</v>
      </c>
      <c r="M342" s="70" t="s">
        <v>72</v>
      </c>
      <c r="N342" s="70" t="s">
        <v>1010</v>
      </c>
      <c r="O342" s="70" t="s">
        <v>35</v>
      </c>
      <c r="P342" s="70" t="s">
        <v>1011</v>
      </c>
      <c r="Q342" s="70" t="s">
        <v>37</v>
      </c>
      <c r="R342" s="70" t="s">
        <v>38</v>
      </c>
      <c r="S342" s="70">
        <v>1000</v>
      </c>
      <c r="T342" s="70" t="s">
        <v>52</v>
      </c>
      <c r="V342" s="70">
        <v>1</v>
      </c>
      <c r="W342" s="70" t="s">
        <v>53</v>
      </c>
      <c r="X342" s="70" t="s">
        <v>44</v>
      </c>
      <c r="Y342" s="70" t="s">
        <v>44</v>
      </c>
      <c r="Z342" s="70" t="s">
        <v>1012</v>
      </c>
      <c r="AA342" s="70" t="s">
        <v>44</v>
      </c>
      <c r="AB342" s="70" t="s">
        <v>47</v>
      </c>
      <c r="AC342" s="70" t="s">
        <v>1013</v>
      </c>
      <c r="AD342" s="291" t="s">
        <v>1014</v>
      </c>
      <c r="AE342" s="70" t="s">
        <v>1015</v>
      </c>
      <c r="AF342" s="75" t="s">
        <v>47</v>
      </c>
    </row>
    <row r="343" spans="1:32" s="70" customFormat="1">
      <c r="A343" s="70" t="s">
        <v>47</v>
      </c>
      <c r="B343" s="68">
        <v>45849</v>
      </c>
      <c r="C343" s="68"/>
      <c r="D343" s="68">
        <v>45853</v>
      </c>
      <c r="E343" s="68">
        <v>45930</v>
      </c>
      <c r="F343" s="68">
        <v>45853</v>
      </c>
      <c r="I343" s="70">
        <v>60</v>
      </c>
      <c r="M343" s="70" t="s">
        <v>72</v>
      </c>
      <c r="N343" s="70" t="s">
        <v>962</v>
      </c>
      <c r="O343" s="70" t="s">
        <v>496</v>
      </c>
      <c r="P343" s="70" t="s">
        <v>963</v>
      </c>
      <c r="Q343" s="70" t="s">
        <v>37</v>
      </c>
      <c r="R343" s="70" t="s">
        <v>38</v>
      </c>
      <c r="S343" s="70">
        <v>50000</v>
      </c>
      <c r="T343" s="70" t="s">
        <v>77</v>
      </c>
      <c r="W343" s="70" t="s">
        <v>53</v>
      </c>
      <c r="X343" s="70" t="s">
        <v>44</v>
      </c>
      <c r="Y343" s="70" t="s">
        <v>47</v>
      </c>
      <c r="Z343" s="70" t="s">
        <v>964</v>
      </c>
      <c r="AA343" s="70" t="s">
        <v>44</v>
      </c>
      <c r="AB343" s="70" t="s">
        <v>44</v>
      </c>
      <c r="AC343" s="70" t="s">
        <v>1016</v>
      </c>
      <c r="AD343" s="291" t="s">
        <v>1017</v>
      </c>
      <c r="AF343" s="75" t="s">
        <v>47</v>
      </c>
    </row>
    <row r="344" spans="1:32" s="70" customFormat="1">
      <c r="A344" s="70" t="s">
        <v>552</v>
      </c>
      <c r="B344" s="68">
        <v>45849</v>
      </c>
      <c r="C344" s="68">
        <v>45852</v>
      </c>
      <c r="D344" s="102">
        <v>45880</v>
      </c>
      <c r="E344" s="68">
        <v>45911</v>
      </c>
      <c r="F344" s="68"/>
      <c r="I344" s="70">
        <v>22</v>
      </c>
      <c r="J344" s="188">
        <v>0.11</v>
      </c>
      <c r="M344" s="70" t="s">
        <v>72</v>
      </c>
      <c r="N344" s="70" t="s">
        <v>1018</v>
      </c>
      <c r="O344" s="70" t="s">
        <v>94</v>
      </c>
      <c r="P344" s="70" t="s">
        <v>1019</v>
      </c>
      <c r="Q344" s="70" t="s">
        <v>37</v>
      </c>
      <c r="R344" s="70" t="s">
        <v>88</v>
      </c>
      <c r="S344" s="70">
        <v>200</v>
      </c>
      <c r="T344" s="70" t="s">
        <v>77</v>
      </c>
      <c r="U344" s="70" t="s">
        <v>1020</v>
      </c>
      <c r="V344" s="70" t="s">
        <v>794</v>
      </c>
      <c r="W344" s="70" t="s">
        <v>53</v>
      </c>
      <c r="X344" s="70" t="s">
        <v>44</v>
      </c>
      <c r="Y344" s="70" t="s">
        <v>44</v>
      </c>
      <c r="Z344" s="70" t="s">
        <v>1021</v>
      </c>
      <c r="AA344" s="70" t="s">
        <v>44</v>
      </c>
      <c r="AB344" s="70" t="s">
        <v>47</v>
      </c>
      <c r="AC344" s="70" t="s">
        <v>1022</v>
      </c>
      <c r="AD344" s="291" t="s">
        <v>1023</v>
      </c>
    </row>
    <row r="345" spans="1:32" s="70" customFormat="1">
      <c r="A345" s="70" t="s">
        <v>552</v>
      </c>
      <c r="B345" s="68">
        <v>45849</v>
      </c>
      <c r="C345" s="68">
        <v>45852</v>
      </c>
      <c r="D345" s="102">
        <v>45880</v>
      </c>
      <c r="E345" s="68">
        <v>45911</v>
      </c>
      <c r="F345" s="68"/>
      <c r="I345" s="70">
        <v>22</v>
      </c>
      <c r="J345" s="188">
        <v>0.11</v>
      </c>
      <c r="M345" s="70" t="s">
        <v>72</v>
      </c>
      <c r="N345" s="70" t="s">
        <v>1018</v>
      </c>
      <c r="O345" s="70" t="s">
        <v>94</v>
      </c>
      <c r="P345" s="70" t="s">
        <v>1024</v>
      </c>
      <c r="Q345" s="70" t="s">
        <v>37</v>
      </c>
      <c r="R345" s="70" t="s">
        <v>88</v>
      </c>
      <c r="S345" s="70">
        <v>200</v>
      </c>
      <c r="T345" s="70" t="s">
        <v>77</v>
      </c>
      <c r="U345" s="70" t="s">
        <v>1025</v>
      </c>
      <c r="V345" s="70" t="s">
        <v>794</v>
      </c>
      <c r="W345" s="70" t="s">
        <v>53</v>
      </c>
      <c r="X345" s="70" t="s">
        <v>44</v>
      </c>
      <c r="Y345" s="70" t="s">
        <v>44</v>
      </c>
      <c r="Z345" s="70" t="s">
        <v>1021</v>
      </c>
      <c r="AA345" s="70" t="s">
        <v>44</v>
      </c>
      <c r="AB345" s="70" t="s">
        <v>47</v>
      </c>
      <c r="AC345" s="70" t="s">
        <v>1026</v>
      </c>
      <c r="AD345" s="291" t="s">
        <v>1027</v>
      </c>
    </row>
    <row r="346" spans="1:32" s="70" customFormat="1" ht="29.1">
      <c r="A346" s="70" t="s">
        <v>1028</v>
      </c>
      <c r="B346" s="68">
        <v>45860</v>
      </c>
      <c r="C346" s="68">
        <v>45862</v>
      </c>
      <c r="D346" s="68">
        <v>45869</v>
      </c>
      <c r="E346" s="68">
        <v>46387</v>
      </c>
      <c r="F346" s="68">
        <v>45866</v>
      </c>
      <c r="N346" s="70" t="s">
        <v>136</v>
      </c>
      <c r="O346" s="70" t="s">
        <v>882</v>
      </c>
      <c r="P346" s="70" t="s">
        <v>1029</v>
      </c>
      <c r="Q346" s="70" t="s">
        <v>37</v>
      </c>
      <c r="R346" s="70" t="s">
        <v>38</v>
      </c>
      <c r="S346" s="146">
        <v>1000000</v>
      </c>
      <c r="T346" s="70" t="s">
        <v>77</v>
      </c>
      <c r="V346" s="70">
        <v>1</v>
      </c>
      <c r="W346" s="70" t="s">
        <v>53</v>
      </c>
      <c r="X346" s="70" t="s">
        <v>44</v>
      </c>
      <c r="Y346" s="70" t="s">
        <v>47</v>
      </c>
      <c r="Z346" s="70" t="s">
        <v>579</v>
      </c>
      <c r="AA346" s="70" t="s">
        <v>44</v>
      </c>
      <c r="AB346" s="70" t="s">
        <v>44</v>
      </c>
      <c r="AC346" s="96" t="s">
        <v>1030</v>
      </c>
      <c r="AD346" s="291" t="s">
        <v>1031</v>
      </c>
      <c r="AE346" s="96" t="s">
        <v>891</v>
      </c>
      <c r="AF346" s="75" t="s">
        <v>47</v>
      </c>
    </row>
    <row r="347" spans="1:32" s="70" customFormat="1" ht="43.5">
      <c r="A347" s="70" t="s">
        <v>1028</v>
      </c>
      <c r="B347" s="68">
        <v>45860</v>
      </c>
      <c r="C347" s="68">
        <v>45862</v>
      </c>
      <c r="D347" s="68">
        <v>45869</v>
      </c>
      <c r="E347" s="68">
        <v>46387</v>
      </c>
      <c r="F347" s="68">
        <v>45866</v>
      </c>
      <c r="H347" s="147"/>
      <c r="J347" s="118"/>
      <c r="K347" s="146"/>
      <c r="L347" s="114"/>
      <c r="N347" s="70" t="s">
        <v>136</v>
      </c>
      <c r="O347" s="70" t="s">
        <v>749</v>
      </c>
      <c r="P347" s="70" t="s">
        <v>1032</v>
      </c>
      <c r="Q347" s="70" t="s">
        <v>37</v>
      </c>
      <c r="R347" s="70" t="s">
        <v>38</v>
      </c>
      <c r="S347" s="146">
        <v>1000000</v>
      </c>
      <c r="T347" s="70" t="s">
        <v>77</v>
      </c>
      <c r="U347" s="66"/>
      <c r="V347" s="70">
        <v>1</v>
      </c>
      <c r="W347" s="70" t="s">
        <v>53</v>
      </c>
      <c r="X347" s="70" t="s">
        <v>44</v>
      </c>
      <c r="Y347" s="70" t="s">
        <v>44</v>
      </c>
      <c r="Z347" s="70" t="s">
        <v>579</v>
      </c>
      <c r="AA347" s="70" t="s">
        <v>44</v>
      </c>
      <c r="AB347" s="70" t="s">
        <v>47</v>
      </c>
      <c r="AC347" s="70" t="s">
        <v>1033</v>
      </c>
      <c r="AD347" s="291" t="s">
        <v>1034</v>
      </c>
      <c r="AE347" s="96" t="s">
        <v>1035</v>
      </c>
      <c r="AF347" s="75" t="s">
        <v>47</v>
      </c>
    </row>
    <row r="348" spans="1:32" s="70" customFormat="1" ht="29.1">
      <c r="A348" s="70" t="s">
        <v>1028</v>
      </c>
      <c r="B348" s="68">
        <v>45867</v>
      </c>
      <c r="C348" s="68">
        <v>45867</v>
      </c>
      <c r="D348" s="68">
        <v>45869</v>
      </c>
      <c r="E348" s="68">
        <v>46387</v>
      </c>
      <c r="F348" s="68">
        <v>45866</v>
      </c>
      <c r="N348" s="70" t="s">
        <v>136</v>
      </c>
      <c r="O348" s="70" t="s">
        <v>882</v>
      </c>
      <c r="P348" s="70" t="s">
        <v>1036</v>
      </c>
      <c r="Q348" s="70" t="s">
        <v>37</v>
      </c>
      <c r="R348" s="70" t="s">
        <v>38</v>
      </c>
      <c r="S348" s="146">
        <v>500000</v>
      </c>
      <c r="T348" s="70" t="s">
        <v>77</v>
      </c>
      <c r="V348" s="70">
        <v>1</v>
      </c>
      <c r="W348" s="70" t="s">
        <v>53</v>
      </c>
      <c r="X348" s="70" t="s">
        <v>44</v>
      </c>
      <c r="Y348" s="70" t="s">
        <v>47</v>
      </c>
      <c r="Z348" s="70" t="s">
        <v>579</v>
      </c>
      <c r="AA348" s="70" t="s">
        <v>44</v>
      </c>
      <c r="AB348" s="70" t="s">
        <v>44</v>
      </c>
      <c r="AC348" s="96" t="s">
        <v>1037</v>
      </c>
      <c r="AD348" s="291" t="s">
        <v>1031</v>
      </c>
      <c r="AE348" s="96" t="s">
        <v>1038</v>
      </c>
      <c r="AF348" s="75" t="s">
        <v>47</v>
      </c>
    </row>
    <row r="349" spans="1:32" s="231" customFormat="1">
      <c r="A349" s="231" t="s">
        <v>1028</v>
      </c>
      <c r="B349" s="232">
        <v>45867</v>
      </c>
      <c r="C349" s="232">
        <v>45869</v>
      </c>
      <c r="D349" s="232">
        <v>45874</v>
      </c>
      <c r="E349" s="232">
        <v>45960</v>
      </c>
      <c r="F349" s="233">
        <v>45873</v>
      </c>
      <c r="I349" s="231">
        <v>100</v>
      </c>
      <c r="M349" s="231" t="s">
        <v>72</v>
      </c>
      <c r="N349" s="231" t="s">
        <v>962</v>
      </c>
      <c r="O349" s="231" t="s">
        <v>496</v>
      </c>
      <c r="P349" s="231" t="s">
        <v>1039</v>
      </c>
      <c r="Q349" s="231" t="s">
        <v>37</v>
      </c>
      <c r="R349" s="231" t="s">
        <v>38</v>
      </c>
      <c r="S349" s="231">
        <v>50000</v>
      </c>
      <c r="T349" s="231" t="s">
        <v>77</v>
      </c>
      <c r="V349" s="231">
        <v>1</v>
      </c>
      <c r="W349" s="231" t="s">
        <v>53</v>
      </c>
      <c r="X349" s="231" t="s">
        <v>44</v>
      </c>
      <c r="Z349" s="231" t="s">
        <v>964</v>
      </c>
      <c r="AA349" s="231" t="s">
        <v>44</v>
      </c>
      <c r="AB349" s="231" t="s">
        <v>44</v>
      </c>
      <c r="AC349" s="231" t="s">
        <v>1040</v>
      </c>
      <c r="AD349" s="301" t="s">
        <v>1041</v>
      </c>
      <c r="AF349" s="234" t="s">
        <v>47</v>
      </c>
    </row>
    <row r="350" spans="1:32" s="70" customFormat="1">
      <c r="A350" s="70" t="s">
        <v>47</v>
      </c>
      <c r="B350" s="68">
        <v>45881</v>
      </c>
      <c r="C350" s="68">
        <v>45883</v>
      </c>
      <c r="D350" s="68">
        <v>45883</v>
      </c>
      <c r="E350" s="68">
        <v>45917</v>
      </c>
      <c r="F350" s="68">
        <v>45883</v>
      </c>
      <c r="I350" s="70">
        <v>6</v>
      </c>
      <c r="J350" s="148">
        <v>0.6</v>
      </c>
      <c r="M350" s="70" t="s">
        <v>72</v>
      </c>
      <c r="N350" s="70" t="s">
        <v>1018</v>
      </c>
      <c r="O350" s="70" t="s">
        <v>708</v>
      </c>
      <c r="P350" s="70" t="s">
        <v>1042</v>
      </c>
      <c r="Q350" s="70" t="s">
        <v>37</v>
      </c>
      <c r="R350" s="70" t="s">
        <v>38</v>
      </c>
      <c r="S350" s="70">
        <v>10</v>
      </c>
      <c r="T350" s="70" t="s">
        <v>1043</v>
      </c>
      <c r="U350" s="157" t="s">
        <v>1044</v>
      </c>
      <c r="V350" s="70">
        <v>2</v>
      </c>
      <c r="W350" s="70" t="s">
        <v>53</v>
      </c>
      <c r="X350" s="70" t="s">
        <v>44</v>
      </c>
      <c r="Y350" s="70" t="s">
        <v>44</v>
      </c>
      <c r="Z350" s="70" t="s">
        <v>1045</v>
      </c>
      <c r="AA350" s="70" t="s">
        <v>44</v>
      </c>
      <c r="AB350" s="70" t="s">
        <v>47</v>
      </c>
      <c r="AC350" s="70" t="s">
        <v>1046</v>
      </c>
      <c r="AD350" s="291" t="s">
        <v>1047</v>
      </c>
      <c r="AF350" s="75" t="s">
        <v>47</v>
      </c>
    </row>
    <row r="351" spans="1:32" s="70" customFormat="1">
      <c r="A351" s="70" t="s">
        <v>47</v>
      </c>
      <c r="B351" s="68">
        <v>45882</v>
      </c>
      <c r="C351" s="68">
        <v>45883</v>
      </c>
      <c r="D351" s="68">
        <v>45905</v>
      </c>
      <c r="E351" s="68">
        <v>45933</v>
      </c>
      <c r="F351" s="68">
        <v>45898</v>
      </c>
      <c r="M351" s="70" t="s">
        <v>72</v>
      </c>
      <c r="N351" s="70" t="s">
        <v>1018</v>
      </c>
      <c r="P351" s="70" t="s">
        <v>1048</v>
      </c>
      <c r="Q351" s="70" t="s">
        <v>37</v>
      </c>
      <c r="R351" s="70" t="s">
        <v>38</v>
      </c>
      <c r="S351" s="70">
        <v>500</v>
      </c>
      <c r="T351" s="70" t="s">
        <v>77</v>
      </c>
      <c r="U351" s="157" t="s">
        <v>1049</v>
      </c>
      <c r="V351" s="70">
        <v>1</v>
      </c>
      <c r="W351" s="70" t="s">
        <v>53</v>
      </c>
      <c r="X351" s="70" t="s">
        <v>44</v>
      </c>
      <c r="Y351" s="70" t="s">
        <v>44</v>
      </c>
      <c r="Z351" s="70" t="s">
        <v>579</v>
      </c>
      <c r="AA351" s="70" t="s">
        <v>44</v>
      </c>
      <c r="AB351" s="70" t="s">
        <v>47</v>
      </c>
      <c r="AC351" s="70" t="s">
        <v>1050</v>
      </c>
      <c r="AD351" s="291" t="s">
        <v>1051</v>
      </c>
      <c r="AF351" s="75" t="s">
        <v>47</v>
      </c>
    </row>
    <row r="352" spans="1:32" s="70" customFormat="1">
      <c r="A352" s="70" t="s">
        <v>47</v>
      </c>
      <c r="B352" s="68">
        <v>45895</v>
      </c>
      <c r="C352" s="68">
        <v>45898</v>
      </c>
      <c r="D352" s="68">
        <v>45905</v>
      </c>
      <c r="E352" s="68">
        <v>45935</v>
      </c>
      <c r="F352" s="68">
        <v>45902</v>
      </c>
      <c r="I352" s="70">
        <v>10</v>
      </c>
      <c r="J352" s="148">
        <v>0.5</v>
      </c>
      <c r="M352" s="70" t="s">
        <v>72</v>
      </c>
      <c r="N352" s="70" t="s">
        <v>1018</v>
      </c>
      <c r="O352" s="70" t="s">
        <v>708</v>
      </c>
      <c r="P352" s="70" t="s">
        <v>1052</v>
      </c>
      <c r="Q352" s="70" t="s">
        <v>37</v>
      </c>
      <c r="R352" s="70" t="s">
        <v>38</v>
      </c>
      <c r="S352" s="70">
        <v>20</v>
      </c>
      <c r="T352" s="70" t="s">
        <v>1053</v>
      </c>
      <c r="U352" s="70" t="s">
        <v>1054</v>
      </c>
      <c r="V352" s="70">
        <v>1</v>
      </c>
      <c r="W352" s="70" t="s">
        <v>53</v>
      </c>
      <c r="X352" s="70" t="s">
        <v>44</v>
      </c>
      <c r="Y352" s="70" t="s">
        <v>44</v>
      </c>
      <c r="Z352" s="70" t="s">
        <v>579</v>
      </c>
      <c r="AA352" s="70" t="s">
        <v>44</v>
      </c>
      <c r="AB352" s="70" t="s">
        <v>47</v>
      </c>
      <c r="AC352" s="70" t="s">
        <v>1055</v>
      </c>
      <c r="AD352" s="291" t="s">
        <v>1056</v>
      </c>
      <c r="AF352" s="75" t="s">
        <v>47</v>
      </c>
    </row>
    <row r="353" spans="1:32" s="70" customFormat="1">
      <c r="A353" s="70" t="s">
        <v>1057</v>
      </c>
      <c r="B353" s="68">
        <v>45895</v>
      </c>
      <c r="C353" s="68">
        <v>45895</v>
      </c>
      <c r="D353" s="68">
        <v>45903</v>
      </c>
      <c r="E353" s="68">
        <v>45933</v>
      </c>
      <c r="F353" s="68">
        <v>45901</v>
      </c>
      <c r="I353" s="70">
        <v>300</v>
      </c>
      <c r="J353" s="148">
        <v>0.25</v>
      </c>
      <c r="M353" s="70" t="s">
        <v>72</v>
      </c>
      <c r="N353" s="70" t="s">
        <v>268</v>
      </c>
      <c r="O353" s="70" t="s">
        <v>74</v>
      </c>
      <c r="P353" s="70" t="s">
        <v>1058</v>
      </c>
      <c r="Q353" s="70" t="s">
        <v>37</v>
      </c>
      <c r="R353" s="70" t="s">
        <v>88</v>
      </c>
      <c r="S353" s="70">
        <v>1</v>
      </c>
      <c r="T353" s="70" t="s">
        <v>77</v>
      </c>
      <c r="U353" s="70" t="s">
        <v>1059</v>
      </c>
      <c r="V353" s="70">
        <v>1</v>
      </c>
      <c r="W353" s="70" t="s">
        <v>53</v>
      </c>
      <c r="X353" s="70" t="s">
        <v>44</v>
      </c>
      <c r="Y353" s="70" t="s">
        <v>44</v>
      </c>
      <c r="Z353" s="70" t="s">
        <v>579</v>
      </c>
      <c r="AA353" s="70" t="s">
        <v>44</v>
      </c>
      <c r="AB353" s="70" t="s">
        <v>47</v>
      </c>
      <c r="AC353" s="70" t="s">
        <v>1060</v>
      </c>
      <c r="AD353" s="291" t="s">
        <v>1061</v>
      </c>
      <c r="AF353" s="75" t="s">
        <v>47</v>
      </c>
    </row>
    <row r="354" spans="1:32" s="70" customFormat="1">
      <c r="B354" s="201">
        <v>45905</v>
      </c>
      <c r="C354" s="201">
        <v>45909</v>
      </c>
      <c r="D354" s="201">
        <v>45909</v>
      </c>
      <c r="E354" s="201">
        <v>45983</v>
      </c>
      <c r="F354" s="201">
        <v>45911</v>
      </c>
      <c r="G354" s="196"/>
      <c r="H354" s="196"/>
      <c r="I354" s="202">
        <f>0.002*S354</f>
        <v>80</v>
      </c>
      <c r="J354" s="196"/>
      <c r="K354" s="196"/>
      <c r="L354" s="196"/>
      <c r="M354" s="196" t="s">
        <v>33</v>
      </c>
      <c r="N354" s="196" t="s">
        <v>962</v>
      </c>
      <c r="O354" s="196" t="s">
        <v>496</v>
      </c>
      <c r="P354" s="196" t="s">
        <v>963</v>
      </c>
      <c r="Q354" s="196" t="s">
        <v>37</v>
      </c>
      <c r="R354" s="196" t="s">
        <v>38</v>
      </c>
      <c r="S354" s="196">
        <v>40000</v>
      </c>
      <c r="T354" s="196" t="s">
        <v>77</v>
      </c>
      <c r="U354" s="196"/>
      <c r="V354" s="196"/>
      <c r="W354" s="196" t="s">
        <v>53</v>
      </c>
      <c r="X354" s="196" t="s">
        <v>44</v>
      </c>
      <c r="Y354" s="196" t="s">
        <v>47</v>
      </c>
      <c r="Z354" s="196" t="s">
        <v>964</v>
      </c>
      <c r="AA354" s="196" t="s">
        <v>44</v>
      </c>
      <c r="AB354" s="196" t="s">
        <v>44</v>
      </c>
      <c r="AC354" s="70" t="s">
        <v>1062</v>
      </c>
      <c r="AD354" s="291" t="s">
        <v>1063</v>
      </c>
      <c r="AF354" s="75" t="s">
        <v>47</v>
      </c>
    </row>
    <row r="355" spans="1:32" s="70" customFormat="1">
      <c r="B355" s="201">
        <v>45905</v>
      </c>
      <c r="C355" s="201">
        <v>45909</v>
      </c>
      <c r="D355" s="201">
        <v>45909</v>
      </c>
      <c r="E355" s="201">
        <v>45983</v>
      </c>
      <c r="F355" s="201">
        <v>45911</v>
      </c>
      <c r="G355" s="196"/>
      <c r="H355" s="196"/>
      <c r="I355" s="202">
        <f>0.002*S355</f>
        <v>30</v>
      </c>
      <c r="J355" s="196"/>
      <c r="K355" s="196"/>
      <c r="L355" s="196"/>
      <c r="M355" s="196" t="s">
        <v>33</v>
      </c>
      <c r="N355" s="196" t="s">
        <v>962</v>
      </c>
      <c r="O355" s="196" t="s">
        <v>496</v>
      </c>
      <c r="P355" s="196" t="s">
        <v>1064</v>
      </c>
      <c r="Q355" s="196" t="s">
        <v>37</v>
      </c>
      <c r="R355" s="196" t="s">
        <v>38</v>
      </c>
      <c r="S355" s="196">
        <v>15000</v>
      </c>
      <c r="T355" s="196" t="s">
        <v>77</v>
      </c>
      <c r="U355" s="196"/>
      <c r="V355" s="196"/>
      <c r="W355" s="196" t="s">
        <v>53</v>
      </c>
      <c r="X355" s="196" t="s">
        <v>44</v>
      </c>
      <c r="Y355" s="196" t="s">
        <v>44</v>
      </c>
      <c r="Z355" s="196" t="s">
        <v>579</v>
      </c>
      <c r="AA355" s="196" t="s">
        <v>44</v>
      </c>
      <c r="AB355" s="196"/>
      <c r="AC355" s="70" t="s">
        <v>1065</v>
      </c>
      <c r="AD355" s="291" t="s">
        <v>1066</v>
      </c>
      <c r="AF355" s="75" t="s">
        <v>47</v>
      </c>
    </row>
    <row r="356" spans="1:32" s="70" customFormat="1">
      <c r="A356" s="70" t="s">
        <v>1067</v>
      </c>
      <c r="B356" s="201">
        <v>45918</v>
      </c>
      <c r="C356" s="201">
        <v>45918</v>
      </c>
      <c r="D356" s="201">
        <v>45935</v>
      </c>
      <c r="E356" s="201">
        <v>46015</v>
      </c>
      <c r="F356" s="201">
        <v>45918</v>
      </c>
      <c r="G356" s="196"/>
      <c r="H356" s="196"/>
      <c r="I356" s="202">
        <f>0.004*S356</f>
        <v>920</v>
      </c>
      <c r="J356" s="196"/>
      <c r="K356" s="196"/>
      <c r="L356" s="196"/>
      <c r="M356" s="196" t="s">
        <v>72</v>
      </c>
      <c r="N356" s="196" t="s">
        <v>1068</v>
      </c>
      <c r="O356" s="196" t="s">
        <v>564</v>
      </c>
      <c r="P356" s="196" t="s">
        <v>1069</v>
      </c>
      <c r="Q356" s="196" t="s">
        <v>37</v>
      </c>
      <c r="R356" s="196" t="s">
        <v>38</v>
      </c>
      <c r="S356" s="196">
        <v>230000</v>
      </c>
      <c r="T356" s="196" t="s">
        <v>77</v>
      </c>
      <c r="U356" s="196"/>
      <c r="V356" s="196"/>
      <c r="W356" s="196" t="s">
        <v>53</v>
      </c>
      <c r="X356" s="196" t="s">
        <v>44</v>
      </c>
      <c r="Y356" s="196" t="s">
        <v>44</v>
      </c>
      <c r="Z356" s="196" t="s">
        <v>579</v>
      </c>
      <c r="AA356" s="196" t="s">
        <v>44</v>
      </c>
      <c r="AB356" s="196" t="s">
        <v>44</v>
      </c>
      <c r="AC356" s="70" t="s">
        <v>1070</v>
      </c>
      <c r="AD356" s="291" t="s">
        <v>1071</v>
      </c>
      <c r="AF356" s="75" t="s">
        <v>47</v>
      </c>
    </row>
    <row r="357" spans="1:32" s="70" customFormat="1">
      <c r="A357" s="70" t="s">
        <v>1067</v>
      </c>
      <c r="B357" s="201">
        <v>45918</v>
      </c>
      <c r="C357" s="201">
        <v>45918</v>
      </c>
      <c r="D357" s="201">
        <v>45935</v>
      </c>
      <c r="E357" s="201">
        <v>46015</v>
      </c>
      <c r="F357" s="201">
        <v>45918</v>
      </c>
      <c r="G357" s="196"/>
      <c r="H357" s="196"/>
      <c r="I357" s="202">
        <f>0.004*S357</f>
        <v>600</v>
      </c>
      <c r="J357" s="196"/>
      <c r="K357" s="196"/>
      <c r="L357" s="196"/>
      <c r="M357" s="196" t="s">
        <v>72</v>
      </c>
      <c r="N357" s="196" t="s">
        <v>1068</v>
      </c>
      <c r="O357" s="196" t="s">
        <v>564</v>
      </c>
      <c r="P357" s="196" t="s">
        <v>1069</v>
      </c>
      <c r="Q357" s="196" t="s">
        <v>37</v>
      </c>
      <c r="R357" s="196" t="s">
        <v>38</v>
      </c>
      <c r="S357" s="203">
        <v>150000</v>
      </c>
      <c r="T357" s="196" t="s">
        <v>77</v>
      </c>
      <c r="U357" s="196"/>
      <c r="V357" s="196"/>
      <c r="W357" s="196" t="s">
        <v>53</v>
      </c>
      <c r="X357" s="196" t="s">
        <v>44</v>
      </c>
      <c r="Y357" s="196" t="s">
        <v>44</v>
      </c>
      <c r="Z357" s="196" t="s">
        <v>579</v>
      </c>
      <c r="AA357" s="196" t="s">
        <v>44</v>
      </c>
      <c r="AB357" s="196" t="s">
        <v>44</v>
      </c>
      <c r="AC357" s="70" t="s">
        <v>1072</v>
      </c>
      <c r="AD357" s="291" t="s">
        <v>1071</v>
      </c>
      <c r="AF357" s="75" t="s">
        <v>47</v>
      </c>
    </row>
    <row r="358" spans="1:32" s="70" customFormat="1">
      <c r="B358" s="68">
        <v>45923</v>
      </c>
      <c r="C358" s="68">
        <v>45923</v>
      </c>
      <c r="D358" s="68">
        <v>45931</v>
      </c>
      <c r="E358" s="68">
        <v>45931</v>
      </c>
      <c r="F358" s="68">
        <v>45929</v>
      </c>
      <c r="H358" s="70">
        <v>200000</v>
      </c>
      <c r="I358" s="70">
        <v>8000</v>
      </c>
      <c r="J358" s="118">
        <f>+I358/H358</f>
        <v>0.04</v>
      </c>
      <c r="M358" s="70" t="s">
        <v>72</v>
      </c>
      <c r="N358" s="70" t="s">
        <v>136</v>
      </c>
      <c r="O358" s="70" t="s">
        <v>74</v>
      </c>
      <c r="P358" s="70" t="s">
        <v>1073</v>
      </c>
      <c r="Q358" s="70" t="s">
        <v>37</v>
      </c>
      <c r="R358" s="70" t="s">
        <v>88</v>
      </c>
      <c r="S358" s="70">
        <v>1</v>
      </c>
      <c r="T358" s="70" t="s">
        <v>77</v>
      </c>
      <c r="U358" s="70" t="s">
        <v>1074</v>
      </c>
      <c r="V358" s="70">
        <v>1</v>
      </c>
      <c r="W358" s="70" t="s">
        <v>53</v>
      </c>
      <c r="X358" s="70" t="s">
        <v>44</v>
      </c>
      <c r="Y358" s="70" t="s">
        <v>44</v>
      </c>
      <c r="Z358" s="70" t="s">
        <v>579</v>
      </c>
      <c r="AA358" s="70" t="s">
        <v>44</v>
      </c>
      <c r="AB358" s="70" t="s">
        <v>47</v>
      </c>
      <c r="AC358" s="70" t="s">
        <v>1075</v>
      </c>
      <c r="AD358" s="291" t="s">
        <v>1076</v>
      </c>
      <c r="AF358" s="75" t="s">
        <v>47</v>
      </c>
    </row>
    <row r="359" spans="1:32" s="70" customFormat="1">
      <c r="B359" s="68">
        <v>45923</v>
      </c>
      <c r="C359" s="68">
        <v>45924</v>
      </c>
      <c r="D359" s="68">
        <v>45924</v>
      </c>
      <c r="E359" s="68">
        <v>46289</v>
      </c>
      <c r="F359" s="68">
        <v>45924</v>
      </c>
      <c r="H359" s="70">
        <v>700</v>
      </c>
      <c r="I359" s="70">
        <v>400</v>
      </c>
      <c r="J359" s="148">
        <v>0.5</v>
      </c>
      <c r="M359" s="70" t="s">
        <v>72</v>
      </c>
      <c r="N359" s="70" t="s">
        <v>1010</v>
      </c>
      <c r="O359" s="70" t="s">
        <v>35</v>
      </c>
      <c r="P359" s="70" t="s">
        <v>1011</v>
      </c>
      <c r="Q359" s="70" t="s">
        <v>37</v>
      </c>
      <c r="R359" s="70" t="s">
        <v>38</v>
      </c>
      <c r="S359" s="70">
        <v>1000</v>
      </c>
      <c r="T359" s="70" t="s">
        <v>52</v>
      </c>
      <c r="V359" s="70">
        <v>1</v>
      </c>
      <c r="W359" s="70" t="s">
        <v>53</v>
      </c>
      <c r="X359" s="70" t="s">
        <v>44</v>
      </c>
      <c r="Y359" s="70" t="s">
        <v>44</v>
      </c>
      <c r="Z359" s="70" t="s">
        <v>1012</v>
      </c>
      <c r="AA359" s="70" t="s">
        <v>44</v>
      </c>
      <c r="AB359" s="70" t="s">
        <v>47</v>
      </c>
      <c r="AC359" s="70" t="s">
        <v>1077</v>
      </c>
      <c r="AD359" s="291" t="s">
        <v>1078</v>
      </c>
      <c r="AE359" s="70" t="s">
        <v>1079</v>
      </c>
      <c r="AF359" s="75" t="s">
        <v>47</v>
      </c>
    </row>
    <row r="360" spans="1:32" s="231" customFormat="1">
      <c r="A360" s="231" t="s">
        <v>1080</v>
      </c>
      <c r="B360" s="232">
        <v>45932</v>
      </c>
      <c r="C360" s="232">
        <v>45940</v>
      </c>
      <c r="D360" s="232">
        <v>45952</v>
      </c>
      <c r="E360" s="232">
        <v>45959</v>
      </c>
      <c r="F360" s="232">
        <v>45947</v>
      </c>
      <c r="I360" s="231">
        <v>500</v>
      </c>
      <c r="M360" s="231" t="s">
        <v>33</v>
      </c>
      <c r="N360" s="231" t="s">
        <v>473</v>
      </c>
      <c r="O360" s="231" t="s">
        <v>262</v>
      </c>
      <c r="P360" s="231" t="s">
        <v>1081</v>
      </c>
      <c r="Q360" s="231" t="s">
        <v>37</v>
      </c>
      <c r="R360" s="231" t="s">
        <v>88</v>
      </c>
      <c r="U360" s="231" t="s">
        <v>1007</v>
      </c>
      <c r="V360" s="231">
        <v>1</v>
      </c>
      <c r="W360" s="231" t="s">
        <v>53</v>
      </c>
      <c r="X360" s="231" t="s">
        <v>44</v>
      </c>
      <c r="Y360" s="231" t="s">
        <v>47</v>
      </c>
      <c r="Z360" s="231" t="s">
        <v>579</v>
      </c>
      <c r="AA360" s="231" t="s">
        <v>44</v>
      </c>
      <c r="AB360" s="231" t="s">
        <v>44</v>
      </c>
      <c r="AC360" s="231" t="s">
        <v>1082</v>
      </c>
      <c r="AD360" s="301" t="s">
        <v>1083</v>
      </c>
      <c r="AF360" s="234" t="s">
        <v>47</v>
      </c>
    </row>
    <row r="361" spans="1:32" s="70" customFormat="1">
      <c r="A361" s="70" t="s">
        <v>1080</v>
      </c>
      <c r="B361" s="68">
        <v>45932</v>
      </c>
      <c r="C361" s="68">
        <v>45940</v>
      </c>
      <c r="D361" s="68">
        <v>45960</v>
      </c>
      <c r="E361" s="68">
        <v>45973</v>
      </c>
      <c r="F361" s="68">
        <v>45954</v>
      </c>
      <c r="I361" s="70">
        <v>3500</v>
      </c>
      <c r="M361" s="70" t="s">
        <v>33</v>
      </c>
      <c r="N361" s="70" t="s">
        <v>473</v>
      </c>
      <c r="O361" s="70" t="s">
        <v>262</v>
      </c>
      <c r="P361" s="70" t="s">
        <v>1084</v>
      </c>
      <c r="Q361" s="70" t="s">
        <v>37</v>
      </c>
      <c r="R361" s="70" t="s">
        <v>88</v>
      </c>
      <c r="U361" s="70" t="s">
        <v>641</v>
      </c>
      <c r="V361" s="70">
        <v>1</v>
      </c>
      <c r="W361" s="70" t="s">
        <v>1085</v>
      </c>
      <c r="X361" s="70" t="s">
        <v>1086</v>
      </c>
      <c r="Y361" s="70" t="s">
        <v>47</v>
      </c>
      <c r="Z361" s="70" t="s">
        <v>579</v>
      </c>
      <c r="AA361" s="70" t="s">
        <v>44</v>
      </c>
      <c r="AB361" s="70" t="s">
        <v>44</v>
      </c>
      <c r="AC361" s="70" t="s">
        <v>1087</v>
      </c>
      <c r="AD361" s="291" t="s">
        <v>1088</v>
      </c>
      <c r="AF361" s="75" t="s">
        <v>47</v>
      </c>
    </row>
    <row r="362" spans="1:32" s="85" customFormat="1">
      <c r="A362" s="85" t="s">
        <v>1089</v>
      </c>
      <c r="B362" s="90">
        <v>45940</v>
      </c>
      <c r="C362" s="90">
        <v>45944</v>
      </c>
      <c r="D362" s="90">
        <v>45955</v>
      </c>
      <c r="E362" s="90">
        <v>45956</v>
      </c>
      <c r="F362" s="90">
        <v>45947</v>
      </c>
      <c r="H362" s="85">
        <v>282000</v>
      </c>
      <c r="I362" s="85">
        <v>8000</v>
      </c>
      <c r="J362" s="205">
        <f>+I362/H362</f>
        <v>2.8368794326241134E-2</v>
      </c>
      <c r="M362" s="85" t="s">
        <v>72</v>
      </c>
      <c r="N362" s="85" t="s">
        <v>136</v>
      </c>
      <c r="O362" s="85" t="s">
        <v>74</v>
      </c>
      <c r="P362" s="85" t="s">
        <v>1090</v>
      </c>
      <c r="Q362" s="85" t="s">
        <v>37</v>
      </c>
      <c r="R362" s="85" t="s">
        <v>38</v>
      </c>
      <c r="S362" s="85">
        <v>350000</v>
      </c>
      <c r="T362" s="85" t="s">
        <v>77</v>
      </c>
      <c r="W362" s="85" t="s">
        <v>53</v>
      </c>
      <c r="X362" s="85" t="s">
        <v>44</v>
      </c>
      <c r="Y362" s="85" t="s">
        <v>44</v>
      </c>
      <c r="Z362" s="85" t="s">
        <v>579</v>
      </c>
      <c r="AA362" s="85" t="s">
        <v>44</v>
      </c>
      <c r="AB362" s="85" t="s">
        <v>47</v>
      </c>
      <c r="AD362" s="293"/>
      <c r="AF362" s="206"/>
    </row>
    <row r="363" spans="1:32" s="85" customFormat="1">
      <c r="A363" s="85" t="s">
        <v>1089</v>
      </c>
      <c r="B363" s="90">
        <v>45940</v>
      </c>
      <c r="C363" s="90">
        <v>45944</v>
      </c>
      <c r="D363" s="90">
        <v>45955</v>
      </c>
      <c r="E363" s="90">
        <v>45956</v>
      </c>
      <c r="F363" s="90">
        <v>45947</v>
      </c>
      <c r="H363" s="85">
        <v>50000</v>
      </c>
      <c r="I363" s="85">
        <v>1000</v>
      </c>
      <c r="J363" s="205">
        <f>+I363/H363</f>
        <v>0.02</v>
      </c>
      <c r="M363" s="85" t="s">
        <v>72</v>
      </c>
      <c r="N363" s="85" t="s">
        <v>136</v>
      </c>
      <c r="O363" s="85" t="s">
        <v>749</v>
      </c>
      <c r="P363" s="85" t="s">
        <v>1091</v>
      </c>
      <c r="Q363" s="85" t="s">
        <v>37</v>
      </c>
      <c r="R363" s="85" t="s">
        <v>38</v>
      </c>
      <c r="S363" s="85">
        <v>80000</v>
      </c>
      <c r="T363" s="85" t="s">
        <v>77</v>
      </c>
      <c r="W363" s="85" t="s">
        <v>53</v>
      </c>
      <c r="X363" s="85" t="s">
        <v>44</v>
      </c>
      <c r="Y363" s="85" t="s">
        <v>44</v>
      </c>
      <c r="Z363" s="85" t="s">
        <v>579</v>
      </c>
      <c r="AA363" s="85" t="s">
        <v>44</v>
      </c>
      <c r="AB363" s="85" t="s">
        <v>47</v>
      </c>
      <c r="AD363" s="293"/>
      <c r="AF363" s="206"/>
    </row>
    <row r="364" spans="1:32" s="70" customFormat="1">
      <c r="A364" s="70" t="s">
        <v>1080</v>
      </c>
      <c r="B364" s="68">
        <v>45943</v>
      </c>
      <c r="C364" s="68">
        <v>45944</v>
      </c>
      <c r="D364" s="68">
        <v>45951</v>
      </c>
      <c r="E364" s="68">
        <f>D364+60</f>
        <v>46011</v>
      </c>
      <c r="F364" s="68">
        <v>45950</v>
      </c>
      <c r="M364" s="70" t="s">
        <v>72</v>
      </c>
      <c r="N364" s="70" t="s">
        <v>962</v>
      </c>
      <c r="O364" s="70" t="s">
        <v>496</v>
      </c>
      <c r="P364" s="70" t="s">
        <v>967</v>
      </c>
      <c r="Q364" s="70" t="s">
        <v>37</v>
      </c>
      <c r="R364" s="70" t="s">
        <v>38</v>
      </c>
      <c r="S364" s="70">
        <v>40000</v>
      </c>
      <c r="T364" s="70" t="s">
        <v>77</v>
      </c>
      <c r="W364" s="70" t="s">
        <v>53</v>
      </c>
      <c r="X364" s="70" t="s">
        <v>44</v>
      </c>
      <c r="Y364" s="70" t="s">
        <v>44</v>
      </c>
      <c r="Z364" s="70" t="s">
        <v>968</v>
      </c>
      <c r="AA364" s="70" t="s">
        <v>44</v>
      </c>
      <c r="AB364" s="70" t="s">
        <v>47</v>
      </c>
      <c r="AC364" s="70" t="s">
        <v>1092</v>
      </c>
      <c r="AD364" s="291" t="s">
        <v>1093</v>
      </c>
      <c r="AF364" s="75" t="s">
        <v>47</v>
      </c>
    </row>
    <row r="365" spans="1:32" s="70" customFormat="1">
      <c r="A365" s="70" t="s">
        <v>1080</v>
      </c>
      <c r="B365" s="68">
        <v>45944</v>
      </c>
      <c r="C365" s="68">
        <v>45958</v>
      </c>
      <c r="D365" s="68">
        <v>45969</v>
      </c>
      <c r="E365" s="68">
        <v>45972</v>
      </c>
      <c r="F365" s="68">
        <v>45961</v>
      </c>
      <c r="I365" s="70">
        <v>300</v>
      </c>
      <c r="M365" s="70" t="s">
        <v>72</v>
      </c>
      <c r="N365" s="70" t="s">
        <v>473</v>
      </c>
      <c r="O365" s="70" t="s">
        <v>262</v>
      </c>
      <c r="P365" s="70" t="s">
        <v>1094</v>
      </c>
      <c r="Q365" s="70" t="s">
        <v>37</v>
      </c>
      <c r="R365" s="70" t="s">
        <v>88</v>
      </c>
      <c r="U365" s="70" t="s">
        <v>1095</v>
      </c>
      <c r="V365" s="70">
        <v>1</v>
      </c>
      <c r="W365" s="70" t="s">
        <v>53</v>
      </c>
      <c r="X365" s="70" t="s">
        <v>44</v>
      </c>
      <c r="Y365" s="70" t="s">
        <v>44</v>
      </c>
      <c r="Z365" s="70" t="s">
        <v>968</v>
      </c>
      <c r="AA365" s="70" t="s">
        <v>44</v>
      </c>
      <c r="AB365" s="70" t="s">
        <v>47</v>
      </c>
      <c r="AC365" s="70" t="s">
        <v>1096</v>
      </c>
      <c r="AD365" s="291" t="s">
        <v>1097</v>
      </c>
      <c r="AE365" s="70" t="s">
        <v>1098</v>
      </c>
    </row>
    <row r="366" spans="1:32" s="70" customFormat="1">
      <c r="B366" s="68">
        <v>45946</v>
      </c>
      <c r="C366" s="68">
        <v>45954</v>
      </c>
      <c r="D366" s="68">
        <v>45972</v>
      </c>
      <c r="E366" s="68">
        <v>45973</v>
      </c>
      <c r="F366" s="68">
        <v>45957</v>
      </c>
      <c r="I366" s="70">
        <v>150</v>
      </c>
      <c r="M366" s="70" t="s">
        <v>72</v>
      </c>
      <c r="N366" s="70" t="s">
        <v>473</v>
      </c>
      <c r="O366" s="70" t="s">
        <v>262</v>
      </c>
      <c r="P366" s="70" t="s">
        <v>1094</v>
      </c>
      <c r="Q366" s="70" t="s">
        <v>37</v>
      </c>
      <c r="R366" s="70" t="s">
        <v>38</v>
      </c>
      <c r="S366" s="70">
        <v>2000</v>
      </c>
      <c r="T366" s="70" t="s">
        <v>77</v>
      </c>
      <c r="W366" s="70" t="s">
        <v>53</v>
      </c>
      <c r="X366" s="70" t="s">
        <v>44</v>
      </c>
      <c r="Y366" s="70" t="s">
        <v>44</v>
      </c>
      <c r="Z366" s="70" t="s">
        <v>968</v>
      </c>
      <c r="AA366" s="70" t="s">
        <v>44</v>
      </c>
      <c r="AB366" s="70" t="s">
        <v>47</v>
      </c>
      <c r="AC366" s="70" t="s">
        <v>1099</v>
      </c>
      <c r="AD366" s="291" t="s">
        <v>1100</v>
      </c>
    </row>
    <row r="367" spans="1:32" s="70" customFormat="1" ht="29.1">
      <c r="A367" s="70" t="s">
        <v>1101</v>
      </c>
      <c r="B367" s="68">
        <v>45954</v>
      </c>
      <c r="C367" s="68">
        <v>45958</v>
      </c>
      <c r="D367" s="68">
        <v>45971</v>
      </c>
      <c r="E367" s="68">
        <v>45971</v>
      </c>
      <c r="F367" s="68">
        <v>45964</v>
      </c>
      <c r="H367" s="70">
        <v>375000</v>
      </c>
      <c r="I367" s="70">
        <v>8000</v>
      </c>
      <c r="J367" s="118">
        <f>+I367/H367</f>
        <v>2.1333333333333333E-2</v>
      </c>
      <c r="M367" s="70" t="s">
        <v>72</v>
      </c>
      <c r="N367" s="70" t="s">
        <v>136</v>
      </c>
      <c r="O367" s="70" t="s">
        <v>74</v>
      </c>
      <c r="P367" s="96" t="s">
        <v>1102</v>
      </c>
      <c r="Q367" s="70" t="s">
        <v>76</v>
      </c>
      <c r="R367" s="70" t="s">
        <v>88</v>
      </c>
      <c r="U367" s="70" t="s">
        <v>1103</v>
      </c>
      <c r="V367" s="70">
        <v>1</v>
      </c>
      <c r="W367" s="70" t="s">
        <v>53</v>
      </c>
      <c r="X367" s="70" t="s">
        <v>44</v>
      </c>
      <c r="Y367" s="70" t="s">
        <v>44</v>
      </c>
      <c r="Z367" s="70" t="s">
        <v>579</v>
      </c>
      <c r="AA367" s="70" t="s">
        <v>44</v>
      </c>
      <c r="AB367" s="70" t="s">
        <v>47</v>
      </c>
      <c r="AC367" s="70" t="s">
        <v>1104</v>
      </c>
      <c r="AD367" s="291" t="s">
        <v>1105</v>
      </c>
      <c r="AF367" s="75" t="s">
        <v>47</v>
      </c>
    </row>
    <row r="368" spans="1:32" s="70" customFormat="1">
      <c r="A368" s="70" t="s">
        <v>1106</v>
      </c>
      <c r="B368" s="68">
        <v>45957</v>
      </c>
      <c r="C368" s="68">
        <v>45960</v>
      </c>
      <c r="D368" s="68">
        <v>45994</v>
      </c>
      <c r="E368" s="68">
        <v>45999</v>
      </c>
      <c r="F368" s="68">
        <v>45945</v>
      </c>
      <c r="G368" s="70" t="s">
        <v>42</v>
      </c>
      <c r="M368" s="70" t="s">
        <v>72</v>
      </c>
      <c r="N368" s="70" t="s">
        <v>1068</v>
      </c>
      <c r="O368" s="70" t="s">
        <v>564</v>
      </c>
      <c r="P368" s="70" t="s">
        <v>1107</v>
      </c>
      <c r="Q368" s="70" t="s">
        <v>37</v>
      </c>
      <c r="R368" s="70" t="s">
        <v>88</v>
      </c>
      <c r="S368" s="70">
        <v>500</v>
      </c>
      <c r="T368" s="70" t="s">
        <v>1108</v>
      </c>
      <c r="U368" s="70" t="s">
        <v>1109</v>
      </c>
      <c r="V368" s="70">
        <v>1</v>
      </c>
      <c r="W368" s="70" t="s">
        <v>53</v>
      </c>
      <c r="X368" s="70" t="s">
        <v>44</v>
      </c>
      <c r="Y368" s="70" t="s">
        <v>47</v>
      </c>
      <c r="Z368" s="70" t="s">
        <v>579</v>
      </c>
      <c r="AA368" s="70" t="s">
        <v>44</v>
      </c>
      <c r="AB368" s="70" t="s">
        <v>44</v>
      </c>
      <c r="AC368" s="70" t="s">
        <v>1110</v>
      </c>
      <c r="AD368" s="291" t="s">
        <v>1111</v>
      </c>
      <c r="AE368" s="70" t="s">
        <v>1112</v>
      </c>
      <c r="AF368" s="75" t="s">
        <v>47</v>
      </c>
    </row>
    <row r="369" spans="1:32" s="70" customFormat="1" ht="15">
      <c r="A369" s="70" t="s">
        <v>1113</v>
      </c>
      <c r="B369" s="68">
        <v>45961</v>
      </c>
      <c r="C369" s="68">
        <v>45961</v>
      </c>
      <c r="D369" s="68">
        <v>45992</v>
      </c>
      <c r="E369" s="68">
        <v>45993</v>
      </c>
      <c r="F369" s="68">
        <v>45981</v>
      </c>
      <c r="M369" s="70" t="s">
        <v>33</v>
      </c>
      <c r="N369" s="70" t="s">
        <v>1068</v>
      </c>
      <c r="O369" s="70" t="s">
        <v>35</v>
      </c>
      <c r="P369" s="70" t="s">
        <v>1114</v>
      </c>
      <c r="Q369" s="70" t="s">
        <v>76</v>
      </c>
      <c r="R369" s="70" t="s">
        <v>88</v>
      </c>
      <c r="U369" s="70" t="s">
        <v>1115</v>
      </c>
      <c r="V369" s="70" t="s">
        <v>271</v>
      </c>
      <c r="W369" s="70" t="s">
        <v>53</v>
      </c>
      <c r="Y369" s="70" t="s">
        <v>44</v>
      </c>
      <c r="Z369" s="70" t="s">
        <v>1116</v>
      </c>
      <c r="AA369" s="70" t="s">
        <v>44</v>
      </c>
      <c r="AB369" s="70" t="s">
        <v>47</v>
      </c>
      <c r="AC369" s="70" t="s">
        <v>1117</v>
      </c>
      <c r="AD369" s="296" t="s">
        <v>1118</v>
      </c>
    </row>
    <row r="370" spans="1:32" s="70" customFormat="1">
      <c r="A370" s="70" t="s">
        <v>1119</v>
      </c>
      <c r="B370" s="68">
        <v>45964</v>
      </c>
      <c r="C370" s="68">
        <v>45953</v>
      </c>
      <c r="D370" s="68">
        <v>45974</v>
      </c>
      <c r="E370" s="68">
        <v>46358</v>
      </c>
      <c r="F370" s="68">
        <v>45968</v>
      </c>
      <c r="H370" s="70" t="s">
        <v>136</v>
      </c>
      <c r="I370" s="70" t="s">
        <v>749</v>
      </c>
      <c r="J370" s="70" t="s">
        <v>1032</v>
      </c>
      <c r="K370" s="70" t="s">
        <v>37</v>
      </c>
      <c r="L370" s="70" t="s">
        <v>38</v>
      </c>
      <c r="M370" s="70" t="s">
        <v>33</v>
      </c>
      <c r="N370" s="70" t="s">
        <v>136</v>
      </c>
      <c r="O370" s="66" t="s">
        <v>882</v>
      </c>
      <c r="P370" s="70" t="s">
        <v>1120</v>
      </c>
      <c r="Q370" s="70" t="s">
        <v>37</v>
      </c>
      <c r="R370" s="70" t="s">
        <v>38</v>
      </c>
      <c r="S370" s="146">
        <v>1000000</v>
      </c>
      <c r="T370" s="70" t="s">
        <v>77</v>
      </c>
      <c r="W370" s="70" t="s">
        <v>53</v>
      </c>
      <c r="X370" s="70" t="s">
        <v>44</v>
      </c>
      <c r="Y370" s="70" t="s">
        <v>44</v>
      </c>
      <c r="Z370" s="70" t="s">
        <v>579</v>
      </c>
      <c r="AA370" s="70" t="s">
        <v>44</v>
      </c>
      <c r="AB370" s="70" t="s">
        <v>47</v>
      </c>
      <c r="AC370" s="70" t="s">
        <v>1121</v>
      </c>
      <c r="AD370" s="291" t="s">
        <v>1122</v>
      </c>
      <c r="AE370" s="70" t="s">
        <v>1123</v>
      </c>
      <c r="AF370" s="75" t="s">
        <v>47</v>
      </c>
    </row>
    <row r="371" spans="1:32" s="70" customFormat="1">
      <c r="A371" s="70" t="s">
        <v>1119</v>
      </c>
      <c r="B371" s="68">
        <v>45964</v>
      </c>
      <c r="C371" s="68">
        <v>45953</v>
      </c>
      <c r="D371" s="68">
        <v>45974</v>
      </c>
      <c r="E371" s="68">
        <v>46358</v>
      </c>
      <c r="F371" s="68">
        <v>45968</v>
      </c>
      <c r="H371" s="70" t="s">
        <v>136</v>
      </c>
      <c r="I371" s="70" t="s">
        <v>882</v>
      </c>
      <c r="J371" s="70" t="s">
        <v>1036</v>
      </c>
      <c r="K371" s="70" t="s">
        <v>37</v>
      </c>
      <c r="L371" s="70" t="s">
        <v>38</v>
      </c>
      <c r="M371" s="70" t="s">
        <v>33</v>
      </c>
      <c r="N371" s="70" t="s">
        <v>136</v>
      </c>
      <c r="O371" s="66" t="s">
        <v>882</v>
      </c>
      <c r="P371" s="70" t="s">
        <v>1124</v>
      </c>
      <c r="Q371" s="70" t="s">
        <v>37</v>
      </c>
      <c r="R371" s="70" t="s">
        <v>38</v>
      </c>
      <c r="S371" s="146">
        <v>1000000</v>
      </c>
      <c r="T371" s="70" t="s">
        <v>77</v>
      </c>
      <c r="W371" s="70" t="s">
        <v>53</v>
      </c>
      <c r="X371" s="70" t="s">
        <v>44</v>
      </c>
      <c r="Y371" s="70" t="s">
        <v>47</v>
      </c>
      <c r="Z371" s="70" t="s">
        <v>579</v>
      </c>
      <c r="AA371" s="70" t="s">
        <v>44</v>
      </c>
      <c r="AB371" s="70" t="s">
        <v>47</v>
      </c>
      <c r="AC371" s="96" t="s">
        <v>1125</v>
      </c>
      <c r="AD371" s="291" t="s">
        <v>885</v>
      </c>
      <c r="AE371" s="96" t="s">
        <v>1123</v>
      </c>
      <c r="AF371" s="75" t="s">
        <v>47</v>
      </c>
    </row>
    <row r="372" spans="1:32" s="70" customFormat="1">
      <c r="A372" s="70" t="s">
        <v>1126</v>
      </c>
      <c r="B372" s="68">
        <v>45979</v>
      </c>
      <c r="C372" s="68">
        <v>45996</v>
      </c>
      <c r="D372" s="68">
        <v>46008</v>
      </c>
      <c r="E372" s="68">
        <v>46016</v>
      </c>
      <c r="F372" s="68">
        <v>46003</v>
      </c>
      <c r="I372" s="70">
        <v>300</v>
      </c>
      <c r="M372" s="70" t="s">
        <v>72</v>
      </c>
      <c r="N372" s="70" t="s">
        <v>473</v>
      </c>
      <c r="O372" s="70" t="s">
        <v>262</v>
      </c>
      <c r="P372" s="70" t="s">
        <v>1081</v>
      </c>
      <c r="Q372" s="70" t="s">
        <v>37</v>
      </c>
      <c r="R372" s="70" t="s">
        <v>88</v>
      </c>
      <c r="U372" s="70" t="s">
        <v>1007</v>
      </c>
      <c r="V372" s="70">
        <v>1</v>
      </c>
      <c r="W372" s="70" t="s">
        <v>53</v>
      </c>
      <c r="X372" s="70" t="s">
        <v>44</v>
      </c>
      <c r="Y372" s="70" t="s">
        <v>47</v>
      </c>
      <c r="Z372" s="70" t="s">
        <v>579</v>
      </c>
      <c r="AA372" s="70" t="s">
        <v>44</v>
      </c>
      <c r="AB372" s="70" t="s">
        <v>44</v>
      </c>
      <c r="AC372" s="70" t="s">
        <v>1008</v>
      </c>
      <c r="AD372" s="291" t="s">
        <v>1127</v>
      </c>
    </row>
    <row r="373" spans="1:32" s="70" customFormat="1">
      <c r="A373" s="70" t="s">
        <v>1126</v>
      </c>
      <c r="B373" s="68">
        <v>45980</v>
      </c>
      <c r="C373" s="68">
        <v>45981</v>
      </c>
      <c r="D373" s="68">
        <v>45982</v>
      </c>
      <c r="E373" s="68">
        <v>45984</v>
      </c>
      <c r="F373" s="68">
        <v>45981</v>
      </c>
      <c r="I373" s="70">
        <v>500</v>
      </c>
      <c r="M373" s="70" t="s">
        <v>72</v>
      </c>
      <c r="N373" s="70" t="s">
        <v>1128</v>
      </c>
      <c r="O373" s="70" t="s">
        <v>86</v>
      </c>
      <c r="P373" s="70" t="s">
        <v>1129</v>
      </c>
      <c r="Q373" s="70" t="s">
        <v>76</v>
      </c>
      <c r="R373" s="70" t="s">
        <v>88</v>
      </c>
      <c r="U373" s="70" t="s">
        <v>1130</v>
      </c>
      <c r="W373" s="70" t="s">
        <v>53</v>
      </c>
      <c r="X373" s="70" t="s">
        <v>44</v>
      </c>
      <c r="Y373" s="225" t="s">
        <v>44</v>
      </c>
      <c r="Z373" s="70" t="s">
        <v>590</v>
      </c>
      <c r="AA373" s="70" t="s">
        <v>44</v>
      </c>
      <c r="AB373" s="70" t="s">
        <v>47</v>
      </c>
      <c r="AC373" s="70" t="s">
        <v>1131</v>
      </c>
      <c r="AD373" s="291" t="s">
        <v>1132</v>
      </c>
      <c r="AE373" s="225" t="s">
        <v>1133</v>
      </c>
      <c r="AF373" s="75" t="s">
        <v>47</v>
      </c>
    </row>
    <row r="374" spans="1:32" s="70" customFormat="1">
      <c r="A374" s="70" t="s">
        <v>1134</v>
      </c>
      <c r="B374" s="68">
        <v>45989</v>
      </c>
      <c r="C374" s="68">
        <v>45992</v>
      </c>
      <c r="D374" s="68">
        <v>45992</v>
      </c>
      <c r="E374" s="68"/>
      <c r="F374" s="68">
        <v>45992</v>
      </c>
      <c r="M374" s="70" t="s">
        <v>33</v>
      </c>
      <c r="N374" s="70" t="s">
        <v>126</v>
      </c>
      <c r="O374" s="70" t="s">
        <v>74</v>
      </c>
      <c r="P374" s="70" t="s">
        <v>1135</v>
      </c>
      <c r="Q374" s="70" t="s">
        <v>37</v>
      </c>
      <c r="R374" s="70" t="s">
        <v>38</v>
      </c>
      <c r="S374" s="97">
        <v>500000</v>
      </c>
      <c r="T374" s="70" t="s">
        <v>77</v>
      </c>
      <c r="W374" s="70" t="s">
        <v>53</v>
      </c>
      <c r="X374" s="70" t="s">
        <v>44</v>
      </c>
      <c r="Y374" s="70" t="s">
        <v>44</v>
      </c>
      <c r="Z374" s="70" t="s">
        <v>1136</v>
      </c>
      <c r="AA374" s="70" t="s">
        <v>44</v>
      </c>
      <c r="AB374" s="70" t="s">
        <v>47</v>
      </c>
      <c r="AC374" s="70" t="s">
        <v>1137</v>
      </c>
      <c r="AD374" s="291" t="s">
        <v>1138</v>
      </c>
      <c r="AE374" s="70" t="s">
        <v>1139</v>
      </c>
      <c r="AF374" s="75" t="s">
        <v>47</v>
      </c>
    </row>
    <row r="375" spans="1:32" s="70" customFormat="1">
      <c r="A375" s="70" t="s">
        <v>1140</v>
      </c>
      <c r="B375" s="68">
        <v>45995</v>
      </c>
      <c r="C375" s="68">
        <v>45995</v>
      </c>
      <c r="D375" s="68">
        <v>46001</v>
      </c>
      <c r="E375" s="68">
        <v>46016</v>
      </c>
      <c r="F375" s="68">
        <v>45999</v>
      </c>
      <c r="G375" s="70" t="s">
        <v>42</v>
      </c>
      <c r="M375" s="70" t="s">
        <v>72</v>
      </c>
      <c r="N375" s="70" t="s">
        <v>1068</v>
      </c>
      <c r="O375" s="70" t="s">
        <v>74</v>
      </c>
      <c r="P375" s="70" t="s">
        <v>1141</v>
      </c>
      <c r="Q375" s="70" t="s">
        <v>37</v>
      </c>
      <c r="R375" s="70" t="s">
        <v>88</v>
      </c>
      <c r="S375" s="70">
        <v>100</v>
      </c>
      <c r="T375" s="70" t="s">
        <v>1142</v>
      </c>
      <c r="U375" s="70" t="s">
        <v>1143</v>
      </c>
      <c r="V375" s="70">
        <v>1</v>
      </c>
      <c r="W375" s="70" t="s">
        <v>53</v>
      </c>
      <c r="X375" s="70" t="s">
        <v>44</v>
      </c>
      <c r="Y375" s="70" t="s">
        <v>44</v>
      </c>
      <c r="Z375" s="70" t="s">
        <v>1136</v>
      </c>
      <c r="AA375" s="70" t="s">
        <v>44</v>
      </c>
      <c r="AB375" s="70" t="s">
        <v>47</v>
      </c>
      <c r="AC375" s="70" t="s">
        <v>1144</v>
      </c>
      <c r="AD375" s="291" t="s">
        <v>1145</v>
      </c>
      <c r="AF375" s="75" t="s">
        <v>47</v>
      </c>
    </row>
    <row r="376" spans="1:32" s="70" customFormat="1">
      <c r="A376" s="70" t="s">
        <v>1140</v>
      </c>
      <c r="B376" s="68">
        <v>45995</v>
      </c>
      <c r="C376" s="68">
        <v>45995</v>
      </c>
      <c r="D376" s="68">
        <v>46001</v>
      </c>
      <c r="E376" s="68">
        <v>46016</v>
      </c>
      <c r="F376" s="68">
        <v>45999</v>
      </c>
      <c r="G376" s="70" t="s">
        <v>42</v>
      </c>
      <c r="M376" s="70" t="s">
        <v>72</v>
      </c>
      <c r="N376" s="70" t="s">
        <v>1068</v>
      </c>
      <c r="O376" s="70" t="s">
        <v>74</v>
      </c>
      <c r="P376" s="70" t="s">
        <v>1146</v>
      </c>
      <c r="Q376" s="70" t="s">
        <v>37</v>
      </c>
      <c r="R376" s="70" t="s">
        <v>88</v>
      </c>
      <c r="S376" s="70">
        <v>100</v>
      </c>
      <c r="T376" s="70" t="s">
        <v>1142</v>
      </c>
      <c r="U376" s="70" t="s">
        <v>1147</v>
      </c>
      <c r="V376" s="70">
        <v>1</v>
      </c>
      <c r="W376" s="70" t="s">
        <v>53</v>
      </c>
      <c r="X376" s="70" t="s">
        <v>44</v>
      </c>
      <c r="Y376" s="70" t="s">
        <v>44</v>
      </c>
      <c r="Z376" s="70" t="s">
        <v>1136</v>
      </c>
      <c r="AA376" s="70" t="s">
        <v>44</v>
      </c>
      <c r="AB376" s="70" t="s">
        <v>47</v>
      </c>
      <c r="AC376" s="70" t="s">
        <v>1148</v>
      </c>
      <c r="AD376" s="291" t="s">
        <v>1149</v>
      </c>
      <c r="AE376" s="70" t="s">
        <v>1142</v>
      </c>
      <c r="AF376" s="75" t="s">
        <v>47</v>
      </c>
    </row>
    <row r="377" spans="1:32" s="70" customFormat="1" ht="29.1">
      <c r="A377" s="70" t="s">
        <v>1140</v>
      </c>
      <c r="B377" s="68">
        <v>45995</v>
      </c>
      <c r="C377" s="68"/>
      <c r="D377" s="68">
        <v>45999</v>
      </c>
      <c r="E377" s="68">
        <v>46006</v>
      </c>
      <c r="F377" s="68"/>
      <c r="G377" s="70" t="s">
        <v>42</v>
      </c>
      <c r="N377" s="70" t="s">
        <v>962</v>
      </c>
      <c r="O377" s="70" t="s">
        <v>262</v>
      </c>
      <c r="P377" s="70" t="s">
        <v>1150</v>
      </c>
      <c r="Q377" s="70" t="s">
        <v>76</v>
      </c>
      <c r="R377" s="70" t="s">
        <v>88</v>
      </c>
      <c r="U377" s="70" t="s">
        <v>1151</v>
      </c>
      <c r="W377" s="70" t="s">
        <v>53</v>
      </c>
      <c r="Z377" s="70" t="s">
        <v>1152</v>
      </c>
      <c r="AA377" s="70" t="s">
        <v>44</v>
      </c>
      <c r="AB377" s="70" t="s">
        <v>47</v>
      </c>
      <c r="AC377" s="96" t="s">
        <v>1153</v>
      </c>
      <c r="AD377" s="291" t="s">
        <v>1154</v>
      </c>
      <c r="AF377" s="75" t="s">
        <v>47</v>
      </c>
    </row>
    <row r="378" spans="1:32" s="70" customFormat="1">
      <c r="A378" s="70" t="s">
        <v>1140</v>
      </c>
      <c r="B378" s="68">
        <v>45993</v>
      </c>
      <c r="C378" s="68">
        <v>46000</v>
      </c>
      <c r="D378" s="68">
        <v>46056</v>
      </c>
      <c r="E378" s="68">
        <v>46387</v>
      </c>
      <c r="F378" s="68">
        <v>46000</v>
      </c>
      <c r="M378" s="70" t="s">
        <v>33</v>
      </c>
      <c r="N378" s="70" t="s">
        <v>136</v>
      </c>
      <c r="O378" s="70" t="s">
        <v>882</v>
      </c>
      <c r="P378" s="70" t="s">
        <v>1155</v>
      </c>
      <c r="Q378" s="70" t="s">
        <v>37</v>
      </c>
      <c r="R378" s="70" t="s">
        <v>38</v>
      </c>
      <c r="S378" s="97">
        <v>500000</v>
      </c>
      <c r="T378" s="70" t="s">
        <v>77</v>
      </c>
      <c r="W378" s="70" t="s">
        <v>53</v>
      </c>
      <c r="X378" s="70" t="s">
        <v>44</v>
      </c>
      <c r="Y378" s="70" t="s">
        <v>44</v>
      </c>
      <c r="Z378" s="70" t="s">
        <v>1136</v>
      </c>
      <c r="AA378" s="70" t="s">
        <v>44</v>
      </c>
      <c r="AB378" s="70" t="s">
        <v>47</v>
      </c>
      <c r="AC378" s="70" t="s">
        <v>1156</v>
      </c>
      <c r="AD378" s="291" t="s">
        <v>1157</v>
      </c>
      <c r="AE378" s="70" t="s">
        <v>1139</v>
      </c>
      <c r="AF378" s="75" t="s">
        <v>47</v>
      </c>
    </row>
    <row r="379" spans="1:32" s="70" customFormat="1">
      <c r="A379" s="70" t="s">
        <v>1158</v>
      </c>
      <c r="B379" s="68">
        <v>46027</v>
      </c>
      <c r="C379" s="68">
        <v>46034</v>
      </c>
      <c r="D379" s="68">
        <v>46054</v>
      </c>
      <c r="E379" s="68">
        <v>46165</v>
      </c>
      <c r="F379" s="68">
        <v>46045</v>
      </c>
      <c r="G379" s="68"/>
      <c r="H379" s="70">
        <v>250</v>
      </c>
      <c r="I379" s="70">
        <v>250</v>
      </c>
      <c r="J379" s="118">
        <f t="shared" ref="J379:J403" si="37">+I379/H379</f>
        <v>1</v>
      </c>
      <c r="L379" s="118">
        <f t="shared" ref="L379:L403" si="38">K379/H379</f>
        <v>0</v>
      </c>
      <c r="N379" s="70" t="s">
        <v>57</v>
      </c>
      <c r="O379" s="70" t="s">
        <v>821</v>
      </c>
      <c r="P379" s="70" t="s">
        <v>59</v>
      </c>
      <c r="Q379" s="70" t="s">
        <v>37</v>
      </c>
      <c r="R379" s="70" t="s">
        <v>38</v>
      </c>
      <c r="S379" s="97">
        <v>600</v>
      </c>
      <c r="T379" s="70" t="s">
        <v>52</v>
      </c>
      <c r="V379" s="70">
        <v>1</v>
      </c>
      <c r="W379" s="70" t="s">
        <v>53</v>
      </c>
      <c r="Y379" s="70" t="s">
        <v>44</v>
      </c>
      <c r="AA379" s="70" t="s">
        <v>44</v>
      </c>
      <c r="AB379" s="70" t="s">
        <v>47</v>
      </c>
      <c r="AC379" s="163" t="s">
        <v>1159</v>
      </c>
      <c r="AD379" s="291"/>
      <c r="AF379" s="75" t="s">
        <v>47</v>
      </c>
    </row>
    <row r="380" spans="1:32" s="70" customFormat="1">
      <c r="A380" s="70" t="s">
        <v>1158</v>
      </c>
      <c r="B380" s="68">
        <v>46027</v>
      </c>
      <c r="C380" s="68">
        <v>46034</v>
      </c>
      <c r="D380" s="68">
        <v>46054</v>
      </c>
      <c r="E380" s="68">
        <v>46165</v>
      </c>
      <c r="F380" s="68">
        <v>46045</v>
      </c>
      <c r="G380" s="68"/>
      <c r="H380" s="70">
        <v>250</v>
      </c>
      <c r="I380" s="70">
        <v>250</v>
      </c>
      <c r="J380" s="118">
        <f t="shared" si="37"/>
        <v>1</v>
      </c>
      <c r="L380" s="118">
        <f t="shared" si="38"/>
        <v>0</v>
      </c>
      <c r="N380" s="70" t="s">
        <v>57</v>
      </c>
      <c r="O380" s="70" t="s">
        <v>821</v>
      </c>
      <c r="P380" s="70" t="s">
        <v>62</v>
      </c>
      <c r="Q380" s="70" t="s">
        <v>37</v>
      </c>
      <c r="R380" s="70" t="s">
        <v>38</v>
      </c>
      <c r="S380" s="97">
        <v>600</v>
      </c>
      <c r="T380" s="70" t="s">
        <v>52</v>
      </c>
      <c r="V380" s="70">
        <v>1</v>
      </c>
      <c r="W380" s="70" t="s">
        <v>53</v>
      </c>
      <c r="Y380" s="70" t="s">
        <v>44</v>
      </c>
      <c r="AA380" s="70" t="s">
        <v>44</v>
      </c>
      <c r="AB380" s="70" t="s">
        <v>47</v>
      </c>
      <c r="AC380" s="163" t="s">
        <v>1160</v>
      </c>
      <c r="AD380" s="291"/>
      <c r="AF380" s="75" t="s">
        <v>47</v>
      </c>
    </row>
    <row r="381" spans="1:32" s="70" customFormat="1">
      <c r="A381" s="70" t="s">
        <v>1158</v>
      </c>
      <c r="B381" s="68">
        <v>46027</v>
      </c>
      <c r="C381" s="68">
        <v>46034</v>
      </c>
      <c r="D381" s="68">
        <v>46054</v>
      </c>
      <c r="E381" s="68">
        <v>46165</v>
      </c>
      <c r="F381" s="68">
        <v>46045</v>
      </c>
      <c r="G381" s="68"/>
      <c r="H381" s="70">
        <v>250</v>
      </c>
      <c r="I381" s="70">
        <v>250</v>
      </c>
      <c r="J381" s="118">
        <f t="shared" si="37"/>
        <v>1</v>
      </c>
      <c r="L381" s="118">
        <f t="shared" si="38"/>
        <v>0</v>
      </c>
      <c r="N381" s="70" t="s">
        <v>57</v>
      </c>
      <c r="O381" s="70" t="s">
        <v>821</v>
      </c>
      <c r="P381" s="70" t="s">
        <v>63</v>
      </c>
      <c r="Q381" s="70" t="s">
        <v>37</v>
      </c>
      <c r="R381" s="70" t="s">
        <v>38</v>
      </c>
      <c r="S381" s="97">
        <v>600</v>
      </c>
      <c r="T381" s="70" t="s">
        <v>52</v>
      </c>
      <c r="V381" s="70">
        <v>1</v>
      </c>
      <c r="W381" s="70" t="s">
        <v>53</v>
      </c>
      <c r="Y381" s="70" t="s">
        <v>44</v>
      </c>
      <c r="AA381" s="70" t="s">
        <v>44</v>
      </c>
      <c r="AB381" s="70" t="s">
        <v>47</v>
      </c>
      <c r="AC381" s="163" t="s">
        <v>1161</v>
      </c>
      <c r="AD381" s="291"/>
      <c r="AF381" s="75" t="s">
        <v>47</v>
      </c>
    </row>
    <row r="382" spans="1:32" s="70" customFormat="1">
      <c r="A382" s="70" t="s">
        <v>1158</v>
      </c>
      <c r="B382" s="68">
        <v>46027</v>
      </c>
      <c r="C382" s="68">
        <v>46034</v>
      </c>
      <c r="D382" s="68">
        <v>46054</v>
      </c>
      <c r="E382" s="68">
        <v>46165</v>
      </c>
      <c r="F382" s="68">
        <v>46045</v>
      </c>
      <c r="G382" s="68"/>
      <c r="H382" s="70">
        <v>250</v>
      </c>
      <c r="I382" s="70">
        <v>250</v>
      </c>
      <c r="J382" s="118">
        <f t="shared" si="37"/>
        <v>1</v>
      </c>
      <c r="L382" s="118">
        <f t="shared" si="38"/>
        <v>0</v>
      </c>
      <c r="N382" s="70" t="s">
        <v>57</v>
      </c>
      <c r="O382" s="70" t="s">
        <v>821</v>
      </c>
      <c r="P382" s="70" t="s">
        <v>65</v>
      </c>
      <c r="Q382" s="70" t="s">
        <v>37</v>
      </c>
      <c r="R382" s="70" t="s">
        <v>38</v>
      </c>
      <c r="S382" s="97">
        <v>600</v>
      </c>
      <c r="T382" s="70" t="s">
        <v>52</v>
      </c>
      <c r="V382" s="70">
        <v>1</v>
      </c>
      <c r="W382" s="70" t="s">
        <v>53</v>
      </c>
      <c r="Y382" s="70" t="s">
        <v>44</v>
      </c>
      <c r="AA382" s="70" t="s">
        <v>44</v>
      </c>
      <c r="AB382" s="70" t="s">
        <v>47</v>
      </c>
      <c r="AC382" s="163" t="s">
        <v>1162</v>
      </c>
      <c r="AD382" s="291"/>
      <c r="AF382" s="75" t="s">
        <v>47</v>
      </c>
    </row>
    <row r="383" spans="1:32" s="70" customFormat="1">
      <c r="A383" s="70" t="s">
        <v>1158</v>
      </c>
      <c r="B383" s="68">
        <v>46027</v>
      </c>
      <c r="C383" s="68">
        <v>46034</v>
      </c>
      <c r="D383" s="68">
        <v>46054</v>
      </c>
      <c r="E383" s="68">
        <v>46165</v>
      </c>
      <c r="F383" s="68">
        <v>46045</v>
      </c>
      <c r="G383" s="68"/>
      <c r="H383" s="70">
        <v>250</v>
      </c>
      <c r="I383" s="70">
        <v>250</v>
      </c>
      <c r="J383" s="118">
        <f t="shared" si="37"/>
        <v>1</v>
      </c>
      <c r="L383" s="118">
        <f t="shared" si="38"/>
        <v>0</v>
      </c>
      <c r="N383" s="70" t="s">
        <v>57</v>
      </c>
      <c r="O383" s="70" t="s">
        <v>821</v>
      </c>
      <c r="P383" s="70" t="s">
        <v>67</v>
      </c>
      <c r="Q383" s="70" t="s">
        <v>37</v>
      </c>
      <c r="R383" s="70" t="s">
        <v>38</v>
      </c>
      <c r="S383" s="97">
        <v>600</v>
      </c>
      <c r="T383" s="70" t="s">
        <v>52</v>
      </c>
      <c r="V383" s="70">
        <v>1</v>
      </c>
      <c r="W383" s="70" t="s">
        <v>53</v>
      </c>
      <c r="Y383" s="70" t="s">
        <v>44</v>
      </c>
      <c r="AA383" s="70" t="s">
        <v>44</v>
      </c>
      <c r="AB383" s="70" t="s">
        <v>47</v>
      </c>
      <c r="AC383" s="163" t="s">
        <v>1163</v>
      </c>
      <c r="AD383" s="291"/>
      <c r="AF383" s="75" t="s">
        <v>47</v>
      </c>
    </row>
    <row r="384" spans="1:32" s="70" customFormat="1">
      <c r="A384" s="70" t="s">
        <v>1158</v>
      </c>
      <c r="B384" s="68">
        <v>46027</v>
      </c>
      <c r="C384" s="68">
        <v>46034</v>
      </c>
      <c r="D384" s="68">
        <v>46054</v>
      </c>
      <c r="E384" s="68">
        <v>46165</v>
      </c>
      <c r="F384" s="68">
        <v>46045</v>
      </c>
      <c r="G384" s="68"/>
      <c r="H384" s="70">
        <v>250</v>
      </c>
      <c r="I384" s="70">
        <v>250</v>
      </c>
      <c r="J384" s="118">
        <f t="shared" si="37"/>
        <v>1</v>
      </c>
      <c r="L384" s="118">
        <f t="shared" si="38"/>
        <v>0</v>
      </c>
      <c r="N384" s="70" t="s">
        <v>57</v>
      </c>
      <c r="O384" s="70" t="s">
        <v>821</v>
      </c>
      <c r="P384" s="70" t="s">
        <v>69</v>
      </c>
      <c r="Q384" s="70" t="s">
        <v>37</v>
      </c>
      <c r="R384" s="70" t="s">
        <v>38</v>
      </c>
      <c r="S384" s="97">
        <v>600</v>
      </c>
      <c r="T384" s="70" t="s">
        <v>52</v>
      </c>
      <c r="V384" s="70">
        <v>1</v>
      </c>
      <c r="W384" s="70" t="s">
        <v>53</v>
      </c>
      <c r="Y384" s="70" t="s">
        <v>44</v>
      </c>
      <c r="AA384" s="70" t="s">
        <v>44</v>
      </c>
      <c r="AB384" s="70" t="s">
        <v>47</v>
      </c>
      <c r="AC384" s="163" t="s">
        <v>1164</v>
      </c>
      <c r="AD384" s="291"/>
      <c r="AF384" s="75" t="s">
        <v>47</v>
      </c>
    </row>
    <row r="385" spans="1:32" s="70" customFormat="1">
      <c r="A385" s="70" t="s">
        <v>1158</v>
      </c>
      <c r="B385" s="68">
        <v>46027</v>
      </c>
      <c r="C385" s="68">
        <v>46034</v>
      </c>
      <c r="D385" s="68">
        <v>46054</v>
      </c>
      <c r="E385" s="68">
        <v>46165</v>
      </c>
      <c r="F385" s="68">
        <v>46045</v>
      </c>
      <c r="G385" s="68"/>
      <c r="H385" s="70">
        <v>250</v>
      </c>
      <c r="I385" s="70">
        <v>250</v>
      </c>
      <c r="J385" s="118">
        <f t="shared" si="37"/>
        <v>1</v>
      </c>
      <c r="L385" s="118">
        <f t="shared" si="38"/>
        <v>0</v>
      </c>
      <c r="N385" s="70" t="s">
        <v>57</v>
      </c>
      <c r="O385" s="70" t="s">
        <v>821</v>
      </c>
      <c r="P385" s="70" t="s">
        <v>419</v>
      </c>
      <c r="Q385" s="70" t="s">
        <v>37</v>
      </c>
      <c r="R385" s="70" t="s">
        <v>38</v>
      </c>
      <c r="S385" s="97">
        <v>600</v>
      </c>
      <c r="T385" s="70" t="s">
        <v>52</v>
      </c>
      <c r="V385" s="70">
        <v>1</v>
      </c>
      <c r="W385" s="70" t="s">
        <v>53</v>
      </c>
      <c r="Y385" s="70" t="s">
        <v>44</v>
      </c>
      <c r="AA385" s="70" t="s">
        <v>44</v>
      </c>
      <c r="AB385" s="70" t="s">
        <v>47</v>
      </c>
      <c r="AC385" s="163" t="s">
        <v>1165</v>
      </c>
      <c r="AD385" s="291"/>
      <c r="AF385" s="75" t="s">
        <v>47</v>
      </c>
    </row>
    <row r="386" spans="1:32" s="70" customFormat="1">
      <c r="A386" s="70" t="s">
        <v>1158</v>
      </c>
      <c r="B386" s="68">
        <v>46027</v>
      </c>
      <c r="C386" s="68">
        <v>46034</v>
      </c>
      <c r="D386" s="68">
        <v>46054</v>
      </c>
      <c r="E386" s="68">
        <v>46165</v>
      </c>
      <c r="F386" s="68">
        <v>46045</v>
      </c>
      <c r="G386" s="68"/>
      <c r="H386" s="70">
        <v>250</v>
      </c>
      <c r="I386" s="70">
        <v>250</v>
      </c>
      <c r="J386" s="118">
        <f t="shared" si="37"/>
        <v>1</v>
      </c>
      <c r="L386" s="118">
        <f t="shared" si="38"/>
        <v>0</v>
      </c>
      <c r="N386" s="70" t="s">
        <v>57</v>
      </c>
      <c r="O386" s="70" t="s">
        <v>830</v>
      </c>
      <c r="P386" s="70" t="s">
        <v>59</v>
      </c>
      <c r="Q386" s="70" t="s">
        <v>37</v>
      </c>
      <c r="R386" s="70" t="s">
        <v>38</v>
      </c>
      <c r="S386" s="97">
        <v>600</v>
      </c>
      <c r="T386" s="70" t="s">
        <v>52</v>
      </c>
      <c r="V386" s="70">
        <v>1</v>
      </c>
      <c r="W386" s="70" t="s">
        <v>53</v>
      </c>
      <c r="Y386" s="70" t="s">
        <v>44</v>
      </c>
      <c r="AA386" s="70" t="s">
        <v>44</v>
      </c>
      <c r="AB386" s="70" t="s">
        <v>47</v>
      </c>
      <c r="AC386" s="163" t="s">
        <v>1166</v>
      </c>
      <c r="AD386" s="291"/>
      <c r="AF386" s="75" t="s">
        <v>47</v>
      </c>
    </row>
    <row r="387" spans="1:32" s="70" customFormat="1">
      <c r="A387" s="70" t="s">
        <v>1158</v>
      </c>
      <c r="B387" s="68">
        <v>46027</v>
      </c>
      <c r="C387" s="68">
        <v>46034</v>
      </c>
      <c r="D387" s="68">
        <v>46054</v>
      </c>
      <c r="E387" s="68">
        <v>46165</v>
      </c>
      <c r="F387" s="68">
        <v>46045</v>
      </c>
      <c r="G387" s="68"/>
      <c r="H387" s="70">
        <v>250</v>
      </c>
      <c r="I387" s="70">
        <v>250</v>
      </c>
      <c r="J387" s="118">
        <f t="shared" si="37"/>
        <v>1</v>
      </c>
      <c r="L387" s="118">
        <f t="shared" si="38"/>
        <v>0</v>
      </c>
      <c r="N387" s="70" t="s">
        <v>57</v>
      </c>
      <c r="O387" s="70" t="s">
        <v>830</v>
      </c>
      <c r="P387" s="70" t="s">
        <v>62</v>
      </c>
      <c r="Q387" s="70" t="s">
        <v>37</v>
      </c>
      <c r="R387" s="70" t="s">
        <v>38</v>
      </c>
      <c r="S387" s="97">
        <v>600</v>
      </c>
      <c r="T387" s="70" t="s">
        <v>52</v>
      </c>
      <c r="V387" s="70">
        <v>1</v>
      </c>
      <c r="W387" s="70" t="s">
        <v>53</v>
      </c>
      <c r="Y387" s="70" t="s">
        <v>44</v>
      </c>
      <c r="AA387" s="70" t="s">
        <v>44</v>
      </c>
      <c r="AB387" s="70" t="s">
        <v>47</v>
      </c>
      <c r="AC387" s="163" t="s">
        <v>1167</v>
      </c>
      <c r="AD387" s="291"/>
      <c r="AF387" s="75" t="s">
        <v>47</v>
      </c>
    </row>
    <row r="388" spans="1:32" s="70" customFormat="1">
      <c r="A388" s="70" t="s">
        <v>1158</v>
      </c>
      <c r="B388" s="68">
        <v>46027</v>
      </c>
      <c r="C388" s="68">
        <v>46034</v>
      </c>
      <c r="D388" s="68">
        <v>46054</v>
      </c>
      <c r="E388" s="68">
        <v>46165</v>
      </c>
      <c r="F388" s="68">
        <v>46045</v>
      </c>
      <c r="G388" s="68"/>
      <c r="H388" s="70">
        <v>250</v>
      </c>
      <c r="I388" s="70">
        <v>250</v>
      </c>
      <c r="J388" s="118">
        <f t="shared" si="37"/>
        <v>1</v>
      </c>
      <c r="L388" s="118">
        <f t="shared" si="38"/>
        <v>0</v>
      </c>
      <c r="N388" s="70" t="s">
        <v>57</v>
      </c>
      <c r="O388" s="70" t="s">
        <v>830</v>
      </c>
      <c r="P388" s="128" t="s">
        <v>63</v>
      </c>
      <c r="Q388" s="70" t="s">
        <v>37</v>
      </c>
      <c r="R388" s="70" t="s">
        <v>38</v>
      </c>
      <c r="S388" s="97">
        <v>600</v>
      </c>
      <c r="T388" s="70" t="s">
        <v>52</v>
      </c>
      <c r="V388" s="70">
        <v>1</v>
      </c>
      <c r="W388" s="70" t="s">
        <v>53</v>
      </c>
      <c r="Y388" s="70" t="s">
        <v>44</v>
      </c>
      <c r="AA388" s="70" t="s">
        <v>44</v>
      </c>
      <c r="AB388" s="70" t="s">
        <v>47</v>
      </c>
      <c r="AC388" s="163" t="s">
        <v>1168</v>
      </c>
      <c r="AD388" s="291"/>
      <c r="AF388" s="75" t="s">
        <v>47</v>
      </c>
    </row>
    <row r="389" spans="1:32" s="70" customFormat="1">
      <c r="A389" s="70" t="s">
        <v>1158</v>
      </c>
      <c r="B389" s="68">
        <v>46027</v>
      </c>
      <c r="C389" s="68">
        <v>46034</v>
      </c>
      <c r="D389" s="68">
        <v>46054</v>
      </c>
      <c r="E389" s="68">
        <v>46165</v>
      </c>
      <c r="F389" s="68">
        <v>46045</v>
      </c>
      <c r="G389" s="68"/>
      <c r="H389" s="70">
        <v>250</v>
      </c>
      <c r="I389" s="70">
        <v>250</v>
      </c>
      <c r="J389" s="118">
        <f t="shared" si="37"/>
        <v>1</v>
      </c>
      <c r="L389" s="118">
        <f t="shared" si="38"/>
        <v>0</v>
      </c>
      <c r="N389" s="70" t="s">
        <v>57</v>
      </c>
      <c r="O389" s="70" t="s">
        <v>830</v>
      </c>
      <c r="P389" s="70" t="s">
        <v>69</v>
      </c>
      <c r="Q389" s="70" t="s">
        <v>37</v>
      </c>
      <c r="R389" s="70" t="s">
        <v>38</v>
      </c>
      <c r="S389" s="97">
        <v>600</v>
      </c>
      <c r="T389" s="70" t="s">
        <v>52</v>
      </c>
      <c r="V389" s="70">
        <v>1</v>
      </c>
      <c r="W389" s="70" t="s">
        <v>53</v>
      </c>
      <c r="Y389" s="70" t="s">
        <v>44</v>
      </c>
      <c r="AA389" s="70" t="s">
        <v>44</v>
      </c>
      <c r="AB389" s="70" t="s">
        <v>47</v>
      </c>
      <c r="AC389" s="163" t="s">
        <v>1169</v>
      </c>
      <c r="AD389" s="291"/>
      <c r="AF389" s="75" t="s">
        <v>47</v>
      </c>
    </row>
    <row r="390" spans="1:32" s="70" customFormat="1">
      <c r="A390" s="70" t="s">
        <v>1158</v>
      </c>
      <c r="B390" s="68">
        <v>46027</v>
      </c>
      <c r="C390" s="68">
        <v>46034</v>
      </c>
      <c r="D390" s="68">
        <v>46054</v>
      </c>
      <c r="E390" s="68">
        <v>46165</v>
      </c>
      <c r="F390" s="68">
        <v>46045</v>
      </c>
      <c r="G390" s="68"/>
      <c r="H390" s="70">
        <v>250</v>
      </c>
      <c r="I390" s="70">
        <v>250</v>
      </c>
      <c r="J390" s="118">
        <f t="shared" si="37"/>
        <v>1</v>
      </c>
      <c r="L390" s="118">
        <f t="shared" si="38"/>
        <v>0</v>
      </c>
      <c r="N390" s="70" t="s">
        <v>57</v>
      </c>
      <c r="O390" s="70" t="s">
        <v>830</v>
      </c>
      <c r="P390" s="70" t="s">
        <v>419</v>
      </c>
      <c r="Q390" s="70" t="s">
        <v>37</v>
      </c>
      <c r="R390" s="70" t="s">
        <v>38</v>
      </c>
      <c r="S390" s="97">
        <v>600</v>
      </c>
      <c r="T390" s="70" t="s">
        <v>52</v>
      </c>
      <c r="V390" s="70">
        <v>1</v>
      </c>
      <c r="W390" s="70" t="s">
        <v>53</v>
      </c>
      <c r="Y390" s="70" t="s">
        <v>44</v>
      </c>
      <c r="AA390" s="70" t="s">
        <v>44</v>
      </c>
      <c r="AB390" s="70" t="s">
        <v>47</v>
      </c>
      <c r="AC390" s="163" t="s">
        <v>1170</v>
      </c>
      <c r="AD390" s="291"/>
      <c r="AF390" s="75" t="s">
        <v>47</v>
      </c>
    </row>
    <row r="391" spans="1:32" s="70" customFormat="1" ht="15">
      <c r="A391" s="70" t="s">
        <v>1158</v>
      </c>
      <c r="B391" s="68">
        <v>46027</v>
      </c>
      <c r="C391" s="68">
        <v>46034</v>
      </c>
      <c r="D391" s="68">
        <v>46236</v>
      </c>
      <c r="E391" s="68">
        <v>46347</v>
      </c>
      <c r="F391" s="68">
        <v>46227</v>
      </c>
      <c r="H391" s="70">
        <v>250</v>
      </c>
      <c r="I391" s="70">
        <v>250</v>
      </c>
      <c r="J391" s="118">
        <f t="shared" si="37"/>
        <v>1</v>
      </c>
      <c r="L391" s="118">
        <f t="shared" si="38"/>
        <v>0</v>
      </c>
      <c r="N391" s="70" t="s">
        <v>57</v>
      </c>
      <c r="O391" s="70" t="s">
        <v>821</v>
      </c>
      <c r="P391" s="70" t="s">
        <v>59</v>
      </c>
      <c r="Q391" s="70" t="s">
        <v>37</v>
      </c>
      <c r="R391" s="70" t="s">
        <v>38</v>
      </c>
      <c r="S391" s="97">
        <v>600</v>
      </c>
      <c r="T391" s="70" t="s">
        <v>52</v>
      </c>
      <c r="V391" s="70">
        <v>1</v>
      </c>
      <c r="W391" s="70" t="s">
        <v>53</v>
      </c>
      <c r="Y391" s="70" t="s">
        <v>44</v>
      </c>
      <c r="AA391" s="70" t="s">
        <v>44</v>
      </c>
      <c r="AB391" s="70" t="s">
        <v>47</v>
      </c>
      <c r="AC391" s="163" t="s">
        <v>1171</v>
      </c>
      <c r="AD391" s="291"/>
      <c r="AF391" s="75" t="s">
        <v>47</v>
      </c>
    </row>
    <row r="392" spans="1:32" s="70" customFormat="1" ht="15">
      <c r="A392" s="70" t="s">
        <v>1158</v>
      </c>
      <c r="B392" s="68">
        <v>46027</v>
      </c>
      <c r="C392" s="68">
        <v>46034</v>
      </c>
      <c r="D392" s="68">
        <v>46236</v>
      </c>
      <c r="E392" s="68">
        <v>46347</v>
      </c>
      <c r="F392" s="68">
        <v>46227</v>
      </c>
      <c r="H392" s="70">
        <v>250</v>
      </c>
      <c r="I392" s="70">
        <v>250</v>
      </c>
      <c r="J392" s="118">
        <f t="shared" si="37"/>
        <v>1</v>
      </c>
      <c r="L392" s="118">
        <f t="shared" si="38"/>
        <v>0</v>
      </c>
      <c r="N392" s="70" t="s">
        <v>57</v>
      </c>
      <c r="O392" s="70" t="s">
        <v>821</v>
      </c>
      <c r="P392" s="70" t="s">
        <v>62</v>
      </c>
      <c r="Q392" s="70" t="s">
        <v>37</v>
      </c>
      <c r="R392" s="70" t="s">
        <v>38</v>
      </c>
      <c r="S392" s="97">
        <v>600</v>
      </c>
      <c r="T392" s="70" t="s">
        <v>52</v>
      </c>
      <c r="V392" s="70">
        <v>1</v>
      </c>
      <c r="W392" s="70" t="s">
        <v>53</v>
      </c>
      <c r="Y392" s="70" t="s">
        <v>44</v>
      </c>
      <c r="AA392" s="70" t="s">
        <v>44</v>
      </c>
      <c r="AB392" s="70" t="s">
        <v>47</v>
      </c>
      <c r="AC392" s="163" t="s">
        <v>1172</v>
      </c>
      <c r="AD392" s="291"/>
      <c r="AF392" s="75" t="s">
        <v>47</v>
      </c>
    </row>
    <row r="393" spans="1:32" s="70" customFormat="1" ht="15">
      <c r="A393" s="70" t="s">
        <v>1158</v>
      </c>
      <c r="B393" s="68">
        <v>46027</v>
      </c>
      <c r="C393" s="68">
        <v>46034</v>
      </c>
      <c r="D393" s="68">
        <v>46236</v>
      </c>
      <c r="E393" s="68">
        <v>46347</v>
      </c>
      <c r="F393" s="68">
        <v>46227</v>
      </c>
      <c r="H393" s="70">
        <v>250</v>
      </c>
      <c r="I393" s="70">
        <v>250</v>
      </c>
      <c r="J393" s="118">
        <f t="shared" si="37"/>
        <v>1</v>
      </c>
      <c r="L393" s="118">
        <f t="shared" si="38"/>
        <v>0</v>
      </c>
      <c r="N393" s="70" t="s">
        <v>57</v>
      </c>
      <c r="O393" s="70" t="s">
        <v>821</v>
      </c>
      <c r="P393" s="70" t="s">
        <v>63</v>
      </c>
      <c r="Q393" s="70" t="s">
        <v>37</v>
      </c>
      <c r="R393" s="70" t="s">
        <v>38</v>
      </c>
      <c r="S393" s="97">
        <v>600</v>
      </c>
      <c r="T393" s="70" t="s">
        <v>52</v>
      </c>
      <c r="V393" s="70">
        <v>1</v>
      </c>
      <c r="W393" s="70" t="s">
        <v>53</v>
      </c>
      <c r="Y393" s="70" t="s">
        <v>44</v>
      </c>
      <c r="AA393" s="70" t="s">
        <v>44</v>
      </c>
      <c r="AB393" s="70" t="s">
        <v>47</v>
      </c>
      <c r="AC393" s="163" t="s">
        <v>1173</v>
      </c>
      <c r="AD393" s="291"/>
      <c r="AF393" s="75" t="s">
        <v>47</v>
      </c>
    </row>
    <row r="394" spans="1:32" s="70" customFormat="1" ht="15">
      <c r="A394" s="70" t="s">
        <v>1158</v>
      </c>
      <c r="B394" s="68">
        <v>46027</v>
      </c>
      <c r="C394" s="68">
        <v>46034</v>
      </c>
      <c r="D394" s="68">
        <v>46236</v>
      </c>
      <c r="E394" s="68">
        <v>46347</v>
      </c>
      <c r="F394" s="68">
        <v>46227</v>
      </c>
      <c r="H394" s="70">
        <v>250</v>
      </c>
      <c r="I394" s="70">
        <v>250</v>
      </c>
      <c r="J394" s="118">
        <f t="shared" si="37"/>
        <v>1</v>
      </c>
      <c r="L394" s="118">
        <f t="shared" si="38"/>
        <v>0</v>
      </c>
      <c r="N394" s="70" t="s">
        <v>57</v>
      </c>
      <c r="O394" s="70" t="s">
        <v>821</v>
      </c>
      <c r="P394" s="70" t="s">
        <v>847</v>
      </c>
      <c r="Q394" s="70" t="s">
        <v>37</v>
      </c>
      <c r="R394" s="70" t="s">
        <v>38</v>
      </c>
      <c r="S394" s="97">
        <v>600</v>
      </c>
      <c r="T394" s="70" t="s">
        <v>52</v>
      </c>
      <c r="V394" s="70">
        <v>1</v>
      </c>
      <c r="W394" s="70" t="s">
        <v>53</v>
      </c>
      <c r="Y394" s="70" t="s">
        <v>44</v>
      </c>
      <c r="AA394" s="70" t="s">
        <v>44</v>
      </c>
      <c r="AB394" s="70" t="s">
        <v>47</v>
      </c>
      <c r="AC394" s="163" t="s">
        <v>1174</v>
      </c>
      <c r="AD394" s="291"/>
      <c r="AF394" s="75" t="s">
        <v>47</v>
      </c>
    </row>
    <row r="395" spans="1:32" s="70" customFormat="1" ht="15">
      <c r="A395" s="70" t="s">
        <v>1158</v>
      </c>
      <c r="B395" s="68">
        <v>46027</v>
      </c>
      <c r="C395" s="68">
        <v>46034</v>
      </c>
      <c r="D395" s="68">
        <v>46236</v>
      </c>
      <c r="E395" s="68">
        <v>46347</v>
      </c>
      <c r="F395" s="68">
        <v>46227</v>
      </c>
      <c r="H395" s="70">
        <v>250</v>
      </c>
      <c r="I395" s="70">
        <v>250</v>
      </c>
      <c r="J395" s="118">
        <f t="shared" si="37"/>
        <v>1</v>
      </c>
      <c r="L395" s="118">
        <f t="shared" si="38"/>
        <v>0</v>
      </c>
      <c r="N395" s="70" t="s">
        <v>57</v>
      </c>
      <c r="O395" s="70" t="s">
        <v>821</v>
      </c>
      <c r="P395" s="70" t="s">
        <v>67</v>
      </c>
      <c r="Q395" s="70" t="s">
        <v>37</v>
      </c>
      <c r="R395" s="70" t="s">
        <v>38</v>
      </c>
      <c r="S395" s="97">
        <v>600</v>
      </c>
      <c r="T395" s="70" t="s">
        <v>52</v>
      </c>
      <c r="V395" s="70">
        <v>1</v>
      </c>
      <c r="W395" s="70" t="s">
        <v>53</v>
      </c>
      <c r="Y395" s="70" t="s">
        <v>44</v>
      </c>
      <c r="AA395" s="70" t="s">
        <v>44</v>
      </c>
      <c r="AB395" s="70" t="s">
        <v>47</v>
      </c>
      <c r="AC395" s="163" t="s">
        <v>1175</v>
      </c>
      <c r="AD395" s="291"/>
      <c r="AF395" s="75" t="s">
        <v>47</v>
      </c>
    </row>
    <row r="396" spans="1:32" s="70" customFormat="1" ht="15">
      <c r="A396" s="70" t="s">
        <v>1158</v>
      </c>
      <c r="B396" s="68">
        <v>46027</v>
      </c>
      <c r="C396" s="68">
        <v>46034</v>
      </c>
      <c r="D396" s="68">
        <v>46236</v>
      </c>
      <c r="E396" s="68">
        <v>46347</v>
      </c>
      <c r="F396" s="68">
        <v>46227</v>
      </c>
      <c r="H396" s="70">
        <v>250</v>
      </c>
      <c r="I396" s="70">
        <v>250</v>
      </c>
      <c r="J396" s="118">
        <f t="shared" si="37"/>
        <v>1</v>
      </c>
      <c r="L396" s="118">
        <f t="shared" si="38"/>
        <v>0</v>
      </c>
      <c r="N396" s="70" t="s">
        <v>57</v>
      </c>
      <c r="O396" s="70" t="s">
        <v>821</v>
      </c>
      <c r="P396" s="70" t="s">
        <v>69</v>
      </c>
      <c r="Q396" s="70" t="s">
        <v>37</v>
      </c>
      <c r="R396" s="70" t="s">
        <v>38</v>
      </c>
      <c r="S396" s="97">
        <v>600</v>
      </c>
      <c r="T396" s="70" t="s">
        <v>52</v>
      </c>
      <c r="V396" s="70">
        <v>1</v>
      </c>
      <c r="W396" s="70" t="s">
        <v>53</v>
      </c>
      <c r="Y396" s="70" t="s">
        <v>44</v>
      </c>
      <c r="AA396" s="70" t="s">
        <v>44</v>
      </c>
      <c r="AB396" s="70" t="s">
        <v>47</v>
      </c>
      <c r="AC396" s="163" t="s">
        <v>1176</v>
      </c>
      <c r="AD396" s="291"/>
      <c r="AF396" s="75" t="s">
        <v>47</v>
      </c>
    </row>
    <row r="397" spans="1:32" s="70" customFormat="1" ht="15">
      <c r="A397" s="70" t="s">
        <v>1158</v>
      </c>
      <c r="B397" s="68">
        <v>46027</v>
      </c>
      <c r="C397" s="68">
        <v>46034</v>
      </c>
      <c r="D397" s="68">
        <v>46236</v>
      </c>
      <c r="E397" s="68">
        <v>46347</v>
      </c>
      <c r="F397" s="68">
        <v>46227</v>
      </c>
      <c r="H397" s="70">
        <v>250</v>
      </c>
      <c r="I397" s="70">
        <v>250</v>
      </c>
      <c r="J397" s="118">
        <f t="shared" si="37"/>
        <v>1</v>
      </c>
      <c r="L397" s="118">
        <f t="shared" si="38"/>
        <v>0</v>
      </c>
      <c r="N397" s="70" t="s">
        <v>57</v>
      </c>
      <c r="O397" s="70" t="s">
        <v>821</v>
      </c>
      <c r="P397" s="70" t="s">
        <v>419</v>
      </c>
      <c r="Q397" s="70" t="s">
        <v>37</v>
      </c>
      <c r="R397" s="70" t="s">
        <v>38</v>
      </c>
      <c r="S397" s="97">
        <v>600</v>
      </c>
      <c r="T397" s="70" t="s">
        <v>52</v>
      </c>
      <c r="V397" s="70">
        <v>1</v>
      </c>
      <c r="W397" s="70" t="s">
        <v>53</v>
      </c>
      <c r="Y397" s="70" t="s">
        <v>44</v>
      </c>
      <c r="AA397" s="70" t="s">
        <v>44</v>
      </c>
      <c r="AB397" s="70" t="s">
        <v>47</v>
      </c>
      <c r="AC397" s="163" t="s">
        <v>1177</v>
      </c>
      <c r="AD397" s="291"/>
      <c r="AF397" s="75" t="s">
        <v>47</v>
      </c>
    </row>
    <row r="398" spans="1:32" s="70" customFormat="1" ht="15">
      <c r="A398" s="70" t="s">
        <v>1158</v>
      </c>
      <c r="B398" s="68">
        <v>46027</v>
      </c>
      <c r="C398" s="68">
        <v>46034</v>
      </c>
      <c r="D398" s="68">
        <v>46236</v>
      </c>
      <c r="E398" s="68">
        <v>46347</v>
      </c>
      <c r="F398" s="68">
        <v>46227</v>
      </c>
      <c r="H398" s="70">
        <v>250</v>
      </c>
      <c r="I398" s="70">
        <v>250</v>
      </c>
      <c r="J398" s="118">
        <f t="shared" si="37"/>
        <v>1</v>
      </c>
      <c r="L398" s="118">
        <f t="shared" si="38"/>
        <v>0</v>
      </c>
      <c r="N398" s="70" t="s">
        <v>57</v>
      </c>
      <c r="O398" s="70" t="s">
        <v>830</v>
      </c>
      <c r="P398" s="70" t="s">
        <v>59</v>
      </c>
      <c r="Q398" s="70" t="s">
        <v>37</v>
      </c>
      <c r="R398" s="70" t="s">
        <v>38</v>
      </c>
      <c r="S398" s="97">
        <v>600</v>
      </c>
      <c r="T398" s="70" t="s">
        <v>52</v>
      </c>
      <c r="V398" s="70">
        <v>1</v>
      </c>
      <c r="W398" s="70" t="s">
        <v>53</v>
      </c>
      <c r="Y398" s="70" t="s">
        <v>44</v>
      </c>
      <c r="AA398" s="70" t="s">
        <v>44</v>
      </c>
      <c r="AB398" s="70" t="s">
        <v>47</v>
      </c>
      <c r="AC398" s="163" t="s">
        <v>1178</v>
      </c>
      <c r="AD398" s="291"/>
      <c r="AF398" s="75" t="s">
        <v>47</v>
      </c>
    </row>
    <row r="399" spans="1:32" s="70" customFormat="1" ht="15">
      <c r="A399" s="70" t="s">
        <v>1158</v>
      </c>
      <c r="B399" s="68">
        <v>46027</v>
      </c>
      <c r="C399" s="68">
        <v>46034</v>
      </c>
      <c r="D399" s="68">
        <v>46236</v>
      </c>
      <c r="E399" s="68">
        <v>46347</v>
      </c>
      <c r="F399" s="68">
        <v>46227</v>
      </c>
      <c r="H399" s="70">
        <v>250</v>
      </c>
      <c r="I399" s="70">
        <v>250</v>
      </c>
      <c r="J399" s="118">
        <f t="shared" si="37"/>
        <v>1</v>
      </c>
      <c r="L399" s="118">
        <f t="shared" si="38"/>
        <v>0</v>
      </c>
      <c r="N399" s="70" t="s">
        <v>57</v>
      </c>
      <c r="O399" s="70" t="s">
        <v>830</v>
      </c>
      <c r="P399" s="70" t="s">
        <v>62</v>
      </c>
      <c r="Q399" s="70" t="s">
        <v>37</v>
      </c>
      <c r="R399" s="70" t="s">
        <v>38</v>
      </c>
      <c r="S399" s="97">
        <v>600</v>
      </c>
      <c r="T399" s="70" t="s">
        <v>52</v>
      </c>
      <c r="V399" s="70">
        <v>1</v>
      </c>
      <c r="W399" s="70" t="s">
        <v>53</v>
      </c>
      <c r="Y399" s="70" t="s">
        <v>44</v>
      </c>
      <c r="AA399" s="70" t="s">
        <v>44</v>
      </c>
      <c r="AB399" s="70" t="s">
        <v>47</v>
      </c>
      <c r="AC399" s="163" t="s">
        <v>1179</v>
      </c>
      <c r="AD399" s="291"/>
      <c r="AF399" s="75" t="s">
        <v>47</v>
      </c>
    </row>
    <row r="400" spans="1:32" s="70" customFormat="1" ht="15">
      <c r="A400" s="70" t="s">
        <v>1158</v>
      </c>
      <c r="B400" s="68">
        <v>46027</v>
      </c>
      <c r="C400" s="68">
        <v>46034</v>
      </c>
      <c r="D400" s="68">
        <v>46236</v>
      </c>
      <c r="E400" s="68">
        <v>46347</v>
      </c>
      <c r="F400" s="68">
        <v>46227</v>
      </c>
      <c r="H400" s="70">
        <v>250</v>
      </c>
      <c r="I400" s="70">
        <v>250</v>
      </c>
      <c r="J400" s="118">
        <f t="shared" si="37"/>
        <v>1</v>
      </c>
      <c r="L400" s="118">
        <f t="shared" si="38"/>
        <v>0</v>
      </c>
      <c r="N400" s="70" t="s">
        <v>57</v>
      </c>
      <c r="O400" s="70" t="s">
        <v>830</v>
      </c>
      <c r="P400" s="128" t="s">
        <v>63</v>
      </c>
      <c r="Q400" s="70" t="s">
        <v>37</v>
      </c>
      <c r="R400" s="70" t="s">
        <v>38</v>
      </c>
      <c r="S400" s="97">
        <v>600</v>
      </c>
      <c r="T400" s="70" t="s">
        <v>52</v>
      </c>
      <c r="V400" s="70">
        <v>1</v>
      </c>
      <c r="W400" s="70" t="s">
        <v>53</v>
      </c>
      <c r="Y400" s="70" t="s">
        <v>44</v>
      </c>
      <c r="AA400" s="70" t="s">
        <v>44</v>
      </c>
      <c r="AB400" s="70" t="s">
        <v>47</v>
      </c>
      <c r="AC400" s="163" t="s">
        <v>1180</v>
      </c>
      <c r="AD400" s="291"/>
      <c r="AF400" s="75" t="s">
        <v>47</v>
      </c>
    </row>
    <row r="401" spans="1:32" s="70" customFormat="1" ht="15">
      <c r="A401" s="70" t="s">
        <v>1158</v>
      </c>
      <c r="B401" s="68">
        <v>46027</v>
      </c>
      <c r="C401" s="68">
        <v>46034</v>
      </c>
      <c r="D401" s="68">
        <v>46236</v>
      </c>
      <c r="E401" s="68">
        <v>46347</v>
      </c>
      <c r="F401" s="68">
        <v>46227</v>
      </c>
      <c r="H401" s="70">
        <v>250</v>
      </c>
      <c r="I401" s="70">
        <v>250</v>
      </c>
      <c r="J401" s="118">
        <f t="shared" si="37"/>
        <v>1</v>
      </c>
      <c r="L401" s="118">
        <f t="shared" si="38"/>
        <v>0</v>
      </c>
      <c r="N401" s="70" t="s">
        <v>57</v>
      </c>
      <c r="O401" s="70" t="s">
        <v>830</v>
      </c>
      <c r="P401" s="70" t="s">
        <v>69</v>
      </c>
      <c r="Q401" s="70" t="s">
        <v>37</v>
      </c>
      <c r="R401" s="70" t="s">
        <v>38</v>
      </c>
      <c r="S401" s="97">
        <v>600</v>
      </c>
      <c r="T401" s="70" t="s">
        <v>52</v>
      </c>
      <c r="V401" s="70">
        <v>1</v>
      </c>
      <c r="W401" s="70" t="s">
        <v>53</v>
      </c>
      <c r="Y401" s="70" t="s">
        <v>44</v>
      </c>
      <c r="AA401" s="70" t="s">
        <v>44</v>
      </c>
      <c r="AB401" s="70" t="s">
        <v>47</v>
      </c>
      <c r="AC401" s="163" t="s">
        <v>1181</v>
      </c>
      <c r="AD401" s="291"/>
      <c r="AF401" s="75" t="s">
        <v>47</v>
      </c>
    </row>
    <row r="402" spans="1:32" s="70" customFormat="1" ht="15">
      <c r="A402" s="70" t="s">
        <v>1158</v>
      </c>
      <c r="B402" s="68">
        <v>46027</v>
      </c>
      <c r="C402" s="68">
        <v>46034</v>
      </c>
      <c r="D402" s="68">
        <v>46236</v>
      </c>
      <c r="E402" s="68">
        <v>46347</v>
      </c>
      <c r="F402" s="68">
        <v>46227</v>
      </c>
      <c r="H402" s="70">
        <v>250</v>
      </c>
      <c r="I402" s="70">
        <v>250</v>
      </c>
      <c r="J402" s="118">
        <f t="shared" si="37"/>
        <v>1</v>
      </c>
      <c r="L402" s="118">
        <f t="shared" si="38"/>
        <v>0</v>
      </c>
      <c r="N402" s="70" t="s">
        <v>57</v>
      </c>
      <c r="O402" s="70" t="s">
        <v>830</v>
      </c>
      <c r="P402" s="70" t="s">
        <v>419</v>
      </c>
      <c r="Q402" s="70" t="s">
        <v>37</v>
      </c>
      <c r="R402" s="70" t="s">
        <v>38</v>
      </c>
      <c r="S402" s="97">
        <v>600</v>
      </c>
      <c r="T402" s="70" t="s">
        <v>52</v>
      </c>
      <c r="V402" s="70">
        <v>1</v>
      </c>
      <c r="W402" s="70" t="s">
        <v>53</v>
      </c>
      <c r="Y402" s="70" t="s">
        <v>44</v>
      </c>
      <c r="AA402" s="70" t="s">
        <v>44</v>
      </c>
      <c r="AB402" s="70" t="s">
        <v>47</v>
      </c>
      <c r="AC402" s="163" t="s">
        <v>1182</v>
      </c>
      <c r="AD402" s="291"/>
      <c r="AF402" s="75" t="s">
        <v>47</v>
      </c>
    </row>
    <row r="403" spans="1:32" s="70" customFormat="1">
      <c r="A403" s="70" t="s">
        <v>1183</v>
      </c>
      <c r="B403" s="68">
        <v>46027</v>
      </c>
      <c r="C403" s="68">
        <v>46034</v>
      </c>
      <c r="D403" s="68">
        <v>46054</v>
      </c>
      <c r="E403" s="68">
        <v>46417</v>
      </c>
      <c r="F403" s="68">
        <v>46031</v>
      </c>
      <c r="H403" s="70">
        <v>5000</v>
      </c>
      <c r="I403" s="70">
        <v>5000</v>
      </c>
      <c r="J403" s="118">
        <f t="shared" si="37"/>
        <v>1</v>
      </c>
      <c r="L403" s="118">
        <f t="shared" si="38"/>
        <v>0</v>
      </c>
      <c r="M403" s="70" t="s">
        <v>33</v>
      </c>
      <c r="N403" s="70" t="s">
        <v>57</v>
      </c>
      <c r="O403" s="70" t="s">
        <v>104</v>
      </c>
      <c r="P403" s="70" t="s">
        <v>62</v>
      </c>
      <c r="Q403" s="70" t="s">
        <v>37</v>
      </c>
      <c r="R403" s="70" t="s">
        <v>38</v>
      </c>
      <c r="S403" s="70">
        <v>5000</v>
      </c>
      <c r="T403" s="70" t="s">
        <v>77</v>
      </c>
      <c r="V403" s="70">
        <v>1</v>
      </c>
      <c r="W403" s="70" t="s">
        <v>53</v>
      </c>
      <c r="Y403" s="70" t="s">
        <v>44</v>
      </c>
      <c r="AA403" s="70" t="s">
        <v>47</v>
      </c>
      <c r="AB403" s="70" t="s">
        <v>47</v>
      </c>
      <c r="AC403" s="70" t="s">
        <v>1184</v>
      </c>
      <c r="AD403" s="291" t="s">
        <v>1185</v>
      </c>
      <c r="AE403" s="70" t="s">
        <v>107</v>
      </c>
      <c r="AF403" s="75" t="s">
        <v>47</v>
      </c>
    </row>
    <row r="404" spans="1:32" s="70" customFormat="1">
      <c r="A404" s="70" t="s">
        <v>1186</v>
      </c>
      <c r="B404" s="68">
        <v>46035</v>
      </c>
      <c r="C404" s="68">
        <v>46045</v>
      </c>
      <c r="D404" s="68">
        <v>46070</v>
      </c>
      <c r="E404" s="68">
        <v>46076</v>
      </c>
      <c r="F404" s="68">
        <v>46063</v>
      </c>
      <c r="I404" s="70">
        <v>350</v>
      </c>
      <c r="M404" s="70" t="s">
        <v>33</v>
      </c>
      <c r="N404" s="70" t="s">
        <v>473</v>
      </c>
      <c r="O404" s="70" t="s">
        <v>1187</v>
      </c>
      <c r="P404" s="70" t="s">
        <v>1188</v>
      </c>
      <c r="Q404" s="70" t="s">
        <v>37</v>
      </c>
      <c r="R404" s="70" t="s">
        <v>88</v>
      </c>
      <c r="U404" s="70" t="s">
        <v>1007</v>
      </c>
      <c r="V404" s="70">
        <v>1</v>
      </c>
      <c r="W404" s="70" t="s">
        <v>53</v>
      </c>
      <c r="Y404" s="70" t="s">
        <v>47</v>
      </c>
      <c r="Z404" s="70" t="s">
        <v>1136</v>
      </c>
      <c r="AA404" s="70" t="s">
        <v>44</v>
      </c>
      <c r="AB404" s="70" t="s">
        <v>44</v>
      </c>
      <c r="AC404" s="66" t="s">
        <v>1189</v>
      </c>
      <c r="AD404" s="291" t="s">
        <v>1190</v>
      </c>
      <c r="AF404" s="75" t="s">
        <v>47</v>
      </c>
    </row>
    <row r="405" spans="1:32" s="70" customFormat="1">
      <c r="A405" s="70" t="s">
        <v>1191</v>
      </c>
      <c r="B405" s="68">
        <v>46043</v>
      </c>
      <c r="C405" s="68">
        <v>46045</v>
      </c>
      <c r="D405" s="68">
        <v>46056</v>
      </c>
      <c r="E405" s="68">
        <v>46063</v>
      </c>
      <c r="F405" s="68">
        <v>46051</v>
      </c>
      <c r="G405" s="237">
        <v>46052</v>
      </c>
      <c r="M405" s="70" t="s">
        <v>72</v>
      </c>
      <c r="N405" s="70" t="s">
        <v>473</v>
      </c>
      <c r="O405" s="70" t="s">
        <v>1187</v>
      </c>
      <c r="P405" s="70" t="s">
        <v>1192</v>
      </c>
      <c r="Q405" s="70" t="s">
        <v>76</v>
      </c>
      <c r="R405" s="70" t="s">
        <v>88</v>
      </c>
      <c r="U405" s="70" t="s">
        <v>1193</v>
      </c>
      <c r="W405" s="70" t="s">
        <v>53</v>
      </c>
      <c r="Y405" s="70" t="s">
        <v>44</v>
      </c>
      <c r="Z405" s="70" t="s">
        <v>1194</v>
      </c>
      <c r="AA405" s="70" t="s">
        <v>44</v>
      </c>
      <c r="AB405" s="70" t="s">
        <v>47</v>
      </c>
      <c r="AC405" s="70" t="s">
        <v>1195</v>
      </c>
      <c r="AD405" s="291" t="s">
        <v>1196</v>
      </c>
      <c r="AF405" s="75" t="s">
        <v>47</v>
      </c>
    </row>
    <row r="406" spans="1:32" s="70" customFormat="1">
      <c r="A406" s="70" t="s">
        <v>1197</v>
      </c>
      <c r="B406" s="68">
        <v>46045</v>
      </c>
      <c r="C406" s="68">
        <v>46049</v>
      </c>
      <c r="D406" s="68">
        <v>46072</v>
      </c>
      <c r="E406" s="68">
        <v>46077</v>
      </c>
      <c r="F406" s="68">
        <v>46071</v>
      </c>
      <c r="G406" s="68">
        <v>46071</v>
      </c>
      <c r="H406" s="70">
        <v>56000</v>
      </c>
      <c r="I406" s="70">
        <v>500</v>
      </c>
      <c r="J406" s="118">
        <f t="shared" ref="J406" si="39">+I406/H406</f>
        <v>8.9285714285714281E-3</v>
      </c>
      <c r="M406" s="70" t="s">
        <v>72</v>
      </c>
      <c r="N406" s="70" t="s">
        <v>1198</v>
      </c>
      <c r="O406" s="70" t="s">
        <v>74</v>
      </c>
      <c r="P406" s="70" t="s">
        <v>1199</v>
      </c>
      <c r="Q406" s="70" t="s">
        <v>37</v>
      </c>
      <c r="R406" s="70" t="s">
        <v>38</v>
      </c>
      <c r="S406" s="97">
        <v>56000</v>
      </c>
      <c r="T406" s="70" t="s">
        <v>77</v>
      </c>
      <c r="W406" s="70" t="s">
        <v>53</v>
      </c>
      <c r="X406" s="70" t="s">
        <v>44</v>
      </c>
      <c r="Y406" s="70" t="s">
        <v>44</v>
      </c>
      <c r="Z406" s="70" t="s">
        <v>1136</v>
      </c>
      <c r="AA406" s="70" t="s">
        <v>44</v>
      </c>
      <c r="AB406" s="70" t="s">
        <v>47</v>
      </c>
      <c r="AC406" s="70" t="s">
        <v>1200</v>
      </c>
      <c r="AD406" s="291" t="s">
        <v>1201</v>
      </c>
      <c r="AE406" s="70" t="s">
        <v>1202</v>
      </c>
      <c r="AF406" s="75" t="s">
        <v>47</v>
      </c>
    </row>
    <row r="407" spans="1:32" s="70" customFormat="1">
      <c r="A407" s="70" t="s">
        <v>1197</v>
      </c>
      <c r="B407" s="68">
        <v>46045</v>
      </c>
      <c r="C407" s="68">
        <v>46049</v>
      </c>
      <c r="D407" s="68">
        <v>46072</v>
      </c>
      <c r="E407" s="68">
        <v>46077</v>
      </c>
      <c r="F407" s="68">
        <v>46071</v>
      </c>
      <c r="G407" s="68">
        <v>46071</v>
      </c>
      <c r="H407" s="70">
        <v>56000</v>
      </c>
      <c r="I407" s="70">
        <v>500</v>
      </c>
      <c r="J407" s="118">
        <f>+I407/H407</f>
        <v>8.9285714285714281E-3</v>
      </c>
      <c r="M407" s="70" t="s">
        <v>72</v>
      </c>
      <c r="N407" s="70" t="s">
        <v>1198</v>
      </c>
      <c r="O407" s="70" t="s">
        <v>74</v>
      </c>
      <c r="P407" s="70" t="s">
        <v>1203</v>
      </c>
      <c r="Q407" s="70" t="s">
        <v>37</v>
      </c>
      <c r="R407" s="70" t="s">
        <v>38</v>
      </c>
      <c r="S407" s="97">
        <v>56000</v>
      </c>
      <c r="T407" s="70" t="s">
        <v>77</v>
      </c>
      <c r="W407" s="70" t="s">
        <v>53</v>
      </c>
      <c r="X407" s="70" t="s">
        <v>44</v>
      </c>
      <c r="Y407" s="70" t="s">
        <v>44</v>
      </c>
      <c r="Z407" s="70" t="s">
        <v>1136</v>
      </c>
      <c r="AA407" s="70" t="s">
        <v>44</v>
      </c>
      <c r="AB407" s="70" t="s">
        <v>47</v>
      </c>
      <c r="AC407" s="70" t="s">
        <v>1204</v>
      </c>
      <c r="AD407" s="291" t="s">
        <v>1205</v>
      </c>
      <c r="AE407" s="70" t="s">
        <v>1202</v>
      </c>
      <c r="AF407" s="75" t="s">
        <v>47</v>
      </c>
    </row>
    <row r="408" spans="1:32" s="70" customFormat="1">
      <c r="A408" s="70" t="s">
        <v>1206</v>
      </c>
      <c r="B408" s="68">
        <v>46056</v>
      </c>
      <c r="C408" s="68">
        <v>46066</v>
      </c>
      <c r="D408" s="68">
        <v>46104</v>
      </c>
      <c r="E408" s="68">
        <v>46110</v>
      </c>
      <c r="F408" s="68">
        <v>46071</v>
      </c>
      <c r="J408" s="118" t="e">
        <f>+I408/H408</f>
        <v>#DIV/0!</v>
      </c>
      <c r="M408" s="70" t="s">
        <v>33</v>
      </c>
      <c r="N408" s="70" t="s">
        <v>473</v>
      </c>
      <c r="O408" s="70" t="s">
        <v>262</v>
      </c>
      <c r="P408" s="70" t="s">
        <v>1081</v>
      </c>
      <c r="Q408" s="70" t="s">
        <v>37</v>
      </c>
      <c r="R408" s="70" t="s">
        <v>88</v>
      </c>
      <c r="U408" s="94" t="s">
        <v>1207</v>
      </c>
      <c r="V408" s="70">
        <v>1</v>
      </c>
      <c r="W408" s="70" t="s">
        <v>53</v>
      </c>
      <c r="Y408" s="70" t="s">
        <v>47</v>
      </c>
      <c r="Z408" s="70" t="s">
        <v>1136</v>
      </c>
      <c r="AA408" s="70" t="s">
        <v>44</v>
      </c>
      <c r="AB408" s="70" t="s">
        <v>44</v>
      </c>
      <c r="AC408" s="70" t="s">
        <v>1208</v>
      </c>
      <c r="AD408" s="291" t="s">
        <v>1209</v>
      </c>
      <c r="AF408" s="75" t="s">
        <v>47</v>
      </c>
    </row>
    <row r="409" spans="1:32" s="70" customFormat="1" ht="15">
      <c r="A409" s="70" t="s">
        <v>1210</v>
      </c>
      <c r="B409" s="68">
        <v>46066</v>
      </c>
      <c r="C409" s="68">
        <v>46066</v>
      </c>
      <c r="D409" s="68">
        <v>46073</v>
      </c>
      <c r="E409" s="68" t="s">
        <v>1211</v>
      </c>
      <c r="F409" s="68">
        <v>46066</v>
      </c>
      <c r="H409" s="70">
        <v>500</v>
      </c>
      <c r="I409" s="70">
        <v>500</v>
      </c>
      <c r="J409" s="241">
        <f>+I409/H409</f>
        <v>1</v>
      </c>
      <c r="M409" s="70" t="s">
        <v>72</v>
      </c>
      <c r="N409" s="70" t="s">
        <v>1212</v>
      </c>
      <c r="O409" s="70" t="s">
        <v>564</v>
      </c>
      <c r="P409" s="70" t="s">
        <v>1213</v>
      </c>
      <c r="Q409" s="70" t="s">
        <v>37</v>
      </c>
      <c r="R409" s="70" t="s">
        <v>38</v>
      </c>
      <c r="S409" s="70">
        <v>500</v>
      </c>
      <c r="T409" s="70" t="s">
        <v>77</v>
      </c>
      <c r="U409" s="70" t="s">
        <v>1214</v>
      </c>
      <c r="V409" s="70" t="s">
        <v>1214</v>
      </c>
      <c r="W409" s="70" t="s">
        <v>53</v>
      </c>
      <c r="X409" s="70" t="s">
        <v>44</v>
      </c>
      <c r="Z409" s="70" t="s">
        <v>1215</v>
      </c>
      <c r="AA409" s="70" t="s">
        <v>47</v>
      </c>
      <c r="AB409" s="70" t="s">
        <v>47</v>
      </c>
      <c r="AC409" s="70" t="s">
        <v>1216</v>
      </c>
      <c r="AD409" s="291" t="s">
        <v>1217</v>
      </c>
      <c r="AE409" s="70" t="s">
        <v>1218</v>
      </c>
      <c r="AF409" s="75" t="s">
        <v>47</v>
      </c>
    </row>
    <row r="410" spans="1:32" s="70" customFormat="1">
      <c r="A410" s="70" t="s">
        <v>1219</v>
      </c>
      <c r="B410" s="68">
        <v>46071</v>
      </c>
      <c r="C410" s="68">
        <v>46078</v>
      </c>
      <c r="D410" s="68">
        <v>46087</v>
      </c>
      <c r="E410" s="68">
        <v>46157</v>
      </c>
      <c r="F410" s="68">
        <v>46087</v>
      </c>
      <c r="H410" s="70">
        <v>6000</v>
      </c>
      <c r="I410" s="70">
        <v>25</v>
      </c>
      <c r="M410" s="70" t="s">
        <v>33</v>
      </c>
      <c r="N410" s="70" t="s">
        <v>962</v>
      </c>
      <c r="O410" s="70" t="s">
        <v>496</v>
      </c>
      <c r="P410" s="70" t="s">
        <v>1220</v>
      </c>
      <c r="Q410" s="70" t="s">
        <v>37</v>
      </c>
      <c r="R410" s="70" t="s">
        <v>38</v>
      </c>
      <c r="S410" s="70">
        <v>6000</v>
      </c>
      <c r="T410" s="70" t="s">
        <v>77</v>
      </c>
      <c r="W410" s="70" t="s">
        <v>53</v>
      </c>
      <c r="X410" s="70" t="s">
        <v>44</v>
      </c>
      <c r="Y410" s="70" t="s">
        <v>47</v>
      </c>
      <c r="Z410" s="70" t="s">
        <v>964</v>
      </c>
      <c r="AA410" s="70" t="s">
        <v>44</v>
      </c>
      <c r="AB410" s="70" t="s">
        <v>44</v>
      </c>
      <c r="AC410" s="70" t="s">
        <v>1221</v>
      </c>
      <c r="AD410" s="291" t="s">
        <v>1222</v>
      </c>
      <c r="AF410" s="75" t="s">
        <v>47</v>
      </c>
    </row>
    <row r="411" spans="1:32" s="70" customFormat="1">
      <c r="A411" s="70" t="s">
        <v>1219</v>
      </c>
      <c r="B411" s="68">
        <v>46071</v>
      </c>
      <c r="C411" s="68">
        <v>46078</v>
      </c>
      <c r="D411" s="68">
        <v>46087</v>
      </c>
      <c r="E411" s="68">
        <v>46157</v>
      </c>
      <c r="F411" s="68">
        <v>46087</v>
      </c>
      <c r="H411" s="70">
        <v>5000</v>
      </c>
      <c r="I411" s="70">
        <v>50</v>
      </c>
      <c r="M411" s="70" t="s">
        <v>33</v>
      </c>
      <c r="N411" s="70" t="s">
        <v>962</v>
      </c>
      <c r="O411" s="70" t="s">
        <v>496</v>
      </c>
      <c r="P411" s="70" t="s">
        <v>1223</v>
      </c>
      <c r="Q411" s="70" t="s">
        <v>37</v>
      </c>
      <c r="R411" s="70" t="s">
        <v>38</v>
      </c>
      <c r="S411" s="70">
        <v>6000</v>
      </c>
      <c r="T411" s="70" t="s">
        <v>77</v>
      </c>
      <c r="W411" s="70" t="s">
        <v>53</v>
      </c>
      <c r="Z411" s="70" t="s">
        <v>579</v>
      </c>
      <c r="AA411" s="70" t="s">
        <v>44</v>
      </c>
      <c r="AB411" s="70" t="s">
        <v>47</v>
      </c>
      <c r="AC411" s="70" t="s">
        <v>1224</v>
      </c>
      <c r="AD411" s="291" t="s">
        <v>1225</v>
      </c>
      <c r="AF411" s="75" t="s">
        <v>47</v>
      </c>
    </row>
    <row r="412" spans="1:32" s="70" customFormat="1" ht="15">
      <c r="A412" s="70" t="s">
        <v>1226</v>
      </c>
      <c r="B412" s="68">
        <v>46098</v>
      </c>
      <c r="C412" s="68">
        <v>46115</v>
      </c>
      <c r="D412" s="68">
        <v>46126</v>
      </c>
      <c r="E412" s="68">
        <v>46132</v>
      </c>
      <c r="F412" s="68">
        <v>46122</v>
      </c>
      <c r="M412" s="70" t="s">
        <v>33</v>
      </c>
      <c r="N412" s="70" t="s">
        <v>473</v>
      </c>
      <c r="O412" s="70" t="s">
        <v>1187</v>
      </c>
      <c r="P412" s="70" t="s">
        <v>1081</v>
      </c>
      <c r="Q412" s="70" t="s">
        <v>37</v>
      </c>
      <c r="R412" s="70" t="s">
        <v>88</v>
      </c>
      <c r="U412" s="70" t="s">
        <v>1007</v>
      </c>
      <c r="V412" s="70">
        <v>1</v>
      </c>
      <c r="W412" s="70" t="s">
        <v>53</v>
      </c>
      <c r="Y412" s="70" t="s">
        <v>47</v>
      </c>
      <c r="Z412" s="70" t="s">
        <v>579</v>
      </c>
      <c r="AA412" s="70" t="s">
        <v>44</v>
      </c>
      <c r="AB412" s="70" t="s">
        <v>44</v>
      </c>
      <c r="AC412" s="247" t="s">
        <v>1227</v>
      </c>
      <c r="AD412" s="291" t="s">
        <v>1228</v>
      </c>
      <c r="AF412" s="75" t="s">
        <v>47</v>
      </c>
    </row>
    <row r="413" spans="1:32" s="70" customFormat="1" ht="15">
      <c r="A413" s="70" t="s">
        <v>1226</v>
      </c>
      <c r="B413" s="68">
        <v>46104</v>
      </c>
      <c r="C413" s="68">
        <v>46115</v>
      </c>
      <c r="D413" s="68">
        <v>46146</v>
      </c>
      <c r="E413" s="68">
        <v>46146</v>
      </c>
      <c r="F413" s="68">
        <v>45778</v>
      </c>
      <c r="M413" s="70" t="s">
        <v>33</v>
      </c>
      <c r="N413" s="70" t="s">
        <v>1018</v>
      </c>
      <c r="O413" s="70" t="s">
        <v>74</v>
      </c>
      <c r="P413" s="70" t="s">
        <v>1229</v>
      </c>
      <c r="Q413" s="70" t="s">
        <v>76</v>
      </c>
      <c r="R413" s="70" t="s">
        <v>88</v>
      </c>
      <c r="U413" s="70" t="s">
        <v>1230</v>
      </c>
      <c r="V413" s="70" t="s">
        <v>271</v>
      </c>
      <c r="W413" s="70" t="s">
        <v>53</v>
      </c>
      <c r="X413" s="70" t="s">
        <v>44</v>
      </c>
      <c r="Y413" s="70" t="s">
        <v>44</v>
      </c>
      <c r="Z413" s="70" t="s">
        <v>289</v>
      </c>
      <c r="AA413" s="70" t="s">
        <v>44</v>
      </c>
      <c r="AB413" s="70" t="s">
        <v>47</v>
      </c>
      <c r="AC413" s="70" t="s">
        <v>1231</v>
      </c>
      <c r="AD413" s="303" t="s">
        <v>1232</v>
      </c>
      <c r="AF413" s="75" t="s">
        <v>47</v>
      </c>
    </row>
    <row r="414" spans="1:32" s="70" customFormat="1" ht="15">
      <c r="A414" s="70" t="s">
        <v>1233</v>
      </c>
      <c r="B414" s="68">
        <v>46119</v>
      </c>
      <c r="C414" s="68">
        <v>46119</v>
      </c>
      <c r="D414" s="68">
        <v>46130</v>
      </c>
      <c r="E414" s="68">
        <v>46131</v>
      </c>
      <c r="F414" s="68">
        <v>46122</v>
      </c>
      <c r="M414" s="70" t="s">
        <v>72</v>
      </c>
      <c r="N414" s="70" t="s">
        <v>1068</v>
      </c>
      <c r="O414" s="70" t="s">
        <v>74</v>
      </c>
      <c r="P414" s="70" t="s">
        <v>1234</v>
      </c>
      <c r="Q414" s="70" t="s">
        <v>76</v>
      </c>
      <c r="R414" s="70" t="s">
        <v>88</v>
      </c>
      <c r="U414" s="70" t="s">
        <v>1235</v>
      </c>
      <c r="V414" s="70" t="s">
        <v>271</v>
      </c>
      <c r="W414" s="70" t="s">
        <v>53</v>
      </c>
      <c r="X414" s="70" t="s">
        <v>44</v>
      </c>
      <c r="Y414" s="70" t="s">
        <v>44</v>
      </c>
      <c r="Z414" s="70" t="s">
        <v>579</v>
      </c>
      <c r="AA414" s="70" t="s">
        <v>44</v>
      </c>
      <c r="AB414" s="70" t="s">
        <v>47</v>
      </c>
      <c r="AC414" s="70" t="s">
        <v>1236</v>
      </c>
      <c r="AD414" s="296" t="s">
        <v>1237</v>
      </c>
      <c r="AF414" s="75" t="s">
        <v>47</v>
      </c>
    </row>
    <row r="415" spans="1:32" s="70" customFormat="1">
      <c r="A415" s="70" t="s">
        <v>1238</v>
      </c>
      <c r="B415" s="68">
        <v>46122</v>
      </c>
      <c r="C415" s="68">
        <v>46136</v>
      </c>
      <c r="D415" s="68">
        <v>46147</v>
      </c>
      <c r="E415" s="68">
        <v>46155</v>
      </c>
      <c r="F415" s="68">
        <v>46141</v>
      </c>
      <c r="M415" s="70" t="s">
        <v>33</v>
      </c>
      <c r="N415" s="70" t="s">
        <v>473</v>
      </c>
      <c r="O415" s="70" t="s">
        <v>262</v>
      </c>
      <c r="P415" s="70" t="s">
        <v>917</v>
      </c>
      <c r="Q415" s="70" t="s">
        <v>37</v>
      </c>
      <c r="R415" s="70" t="s">
        <v>88</v>
      </c>
      <c r="U415" s="94" t="s">
        <v>937</v>
      </c>
      <c r="V415" s="70">
        <v>1</v>
      </c>
      <c r="W415" s="70" t="s">
        <v>53</v>
      </c>
      <c r="Y415" s="70" t="s">
        <v>47</v>
      </c>
      <c r="Z415" s="70" t="s">
        <v>1136</v>
      </c>
      <c r="AA415" s="70" t="s">
        <v>44</v>
      </c>
      <c r="AB415" s="70" t="s">
        <v>44</v>
      </c>
      <c r="AC415" s="70" t="s">
        <v>1239</v>
      </c>
      <c r="AD415" s="291" t="s">
        <v>1240</v>
      </c>
      <c r="AF415" s="75" t="s">
        <v>47</v>
      </c>
    </row>
    <row r="416" spans="1:32" s="70" customFormat="1">
      <c r="A416" s="70" t="s">
        <v>1238</v>
      </c>
      <c r="B416" s="68">
        <v>46122</v>
      </c>
      <c r="C416" s="68">
        <v>46143</v>
      </c>
      <c r="D416" s="68">
        <v>46168</v>
      </c>
      <c r="E416" s="68">
        <v>46181</v>
      </c>
      <c r="F416" s="68">
        <v>46163</v>
      </c>
      <c r="M416" s="70" t="s">
        <v>33</v>
      </c>
      <c r="N416" s="70" t="s">
        <v>473</v>
      </c>
      <c r="O416" s="70" t="s">
        <v>262</v>
      </c>
      <c r="P416" s="70" t="s">
        <v>1241</v>
      </c>
      <c r="Q416" s="70" t="s">
        <v>37</v>
      </c>
      <c r="R416" s="70" t="s">
        <v>88</v>
      </c>
      <c r="U416" s="70" t="s">
        <v>619</v>
      </c>
      <c r="V416" s="70">
        <v>1</v>
      </c>
      <c r="W416" s="70" t="s">
        <v>53</v>
      </c>
      <c r="Y416" s="70" t="s">
        <v>47</v>
      </c>
      <c r="Z416" s="70" t="s">
        <v>1136</v>
      </c>
      <c r="AA416" s="70" t="s">
        <v>44</v>
      </c>
      <c r="AB416" s="70" t="s">
        <v>44</v>
      </c>
      <c r="AC416" s="70" t="s">
        <v>1242</v>
      </c>
      <c r="AD416" s="291" t="s">
        <v>1243</v>
      </c>
      <c r="AF416" s="75" t="s">
        <v>47</v>
      </c>
    </row>
    <row r="417" spans="1:32" s="70" customFormat="1">
      <c r="A417" s="70" t="s">
        <v>1226</v>
      </c>
      <c r="B417" s="68">
        <v>46170</v>
      </c>
      <c r="C417" s="68">
        <v>46174</v>
      </c>
      <c r="D417" s="68">
        <v>46182</v>
      </c>
      <c r="E417" s="68">
        <v>46185</v>
      </c>
      <c r="F417" s="68">
        <v>46175</v>
      </c>
      <c r="M417" s="70" t="s">
        <v>33</v>
      </c>
      <c r="N417" s="70" t="s">
        <v>473</v>
      </c>
      <c r="O417" s="70" t="s">
        <v>262</v>
      </c>
      <c r="P417" s="70" t="s">
        <v>1244</v>
      </c>
      <c r="Q417" s="70" t="s">
        <v>37</v>
      </c>
      <c r="R417" s="70" t="s">
        <v>88</v>
      </c>
      <c r="U417" s="70" t="s">
        <v>1245</v>
      </c>
      <c r="V417" s="70">
        <v>1</v>
      </c>
      <c r="W417" s="70" t="s">
        <v>53</v>
      </c>
      <c r="Y417" s="70" t="s">
        <v>47</v>
      </c>
      <c r="Z417" s="70" t="s">
        <v>1246</v>
      </c>
      <c r="AA417" s="70" t="s">
        <v>44</v>
      </c>
      <c r="AB417" s="70" t="s">
        <v>44</v>
      </c>
      <c r="AC417" s="70" t="s">
        <v>1247</v>
      </c>
      <c r="AD417" s="291" t="s">
        <v>1248</v>
      </c>
      <c r="AF417" s="75" t="s">
        <v>47</v>
      </c>
    </row>
    <row r="418" spans="1:32" s="70" customFormat="1">
      <c r="A418" s="70" t="s">
        <v>1249</v>
      </c>
      <c r="B418" s="68">
        <v>46188</v>
      </c>
      <c r="C418" s="68">
        <v>46190</v>
      </c>
      <c r="D418" s="68">
        <v>46196</v>
      </c>
      <c r="E418" s="68">
        <v>46199</v>
      </c>
      <c r="F418" s="68">
        <v>46190</v>
      </c>
      <c r="M418" s="70" t="s">
        <v>33</v>
      </c>
      <c r="N418" s="70" t="s">
        <v>473</v>
      </c>
      <c r="O418" s="70" t="s">
        <v>262</v>
      </c>
      <c r="P418" s="70" t="s">
        <v>1000</v>
      </c>
      <c r="Q418" s="70" t="s">
        <v>37</v>
      </c>
      <c r="R418" s="70" t="s">
        <v>88</v>
      </c>
      <c r="U418" s="70" t="s">
        <v>1001</v>
      </c>
      <c r="V418" s="70" t="s">
        <v>271</v>
      </c>
      <c r="W418" s="70" t="s">
        <v>53</v>
      </c>
      <c r="X418" s="70" t="s">
        <v>44</v>
      </c>
      <c r="Y418" s="70" t="s">
        <v>44</v>
      </c>
      <c r="Z418" s="70" t="s">
        <v>1250</v>
      </c>
      <c r="AA418" s="70" t="s">
        <v>44</v>
      </c>
      <c r="AB418" s="70" t="s">
        <v>47</v>
      </c>
      <c r="AC418" s="70" t="s">
        <v>1251</v>
      </c>
      <c r="AD418" s="291" t="s">
        <v>1252</v>
      </c>
      <c r="AF418" s="75" t="s">
        <v>47</v>
      </c>
    </row>
    <row r="419" spans="1:32" s="85" customFormat="1" ht="15">
      <c r="A419" s="85" t="s">
        <v>598</v>
      </c>
      <c r="B419" s="90">
        <v>46189</v>
      </c>
      <c r="C419" s="90">
        <v>46234</v>
      </c>
      <c r="D419" s="90">
        <v>46252</v>
      </c>
      <c r="E419" s="90">
        <v>46259</v>
      </c>
      <c r="F419" s="90">
        <v>46245</v>
      </c>
      <c r="M419" s="85" t="s">
        <v>33</v>
      </c>
      <c r="N419" s="85" t="s">
        <v>473</v>
      </c>
      <c r="O419" s="85" t="s">
        <v>262</v>
      </c>
      <c r="P419" s="85" t="s">
        <v>917</v>
      </c>
      <c r="Q419" s="85" t="s">
        <v>37</v>
      </c>
      <c r="R419" s="85" t="s">
        <v>88</v>
      </c>
      <c r="U419" s="85" t="s">
        <v>619</v>
      </c>
      <c r="V419" s="85">
        <v>1</v>
      </c>
      <c r="W419" s="85" t="s">
        <v>53</v>
      </c>
      <c r="Y419" s="85" t="s">
        <v>47</v>
      </c>
      <c r="Z419" s="85" t="s">
        <v>1136</v>
      </c>
      <c r="AA419" s="85" t="s">
        <v>44</v>
      </c>
      <c r="AB419" s="85" t="s">
        <v>44</v>
      </c>
      <c r="AD419" s="293"/>
    </row>
    <row r="420" spans="1:32" s="70" customFormat="1" ht="15">
      <c r="A420" s="70" t="s">
        <v>1226</v>
      </c>
      <c r="B420" s="68">
        <v>46190</v>
      </c>
      <c r="C420" s="68"/>
      <c r="D420" s="68"/>
      <c r="E420" s="68"/>
      <c r="F420" s="68">
        <v>46212</v>
      </c>
      <c r="M420" s="70" t="s">
        <v>72</v>
      </c>
      <c r="N420" s="70" t="s">
        <v>1128</v>
      </c>
      <c r="O420" s="70" t="s">
        <v>1253</v>
      </c>
      <c r="P420" s="70" t="s">
        <v>1254</v>
      </c>
      <c r="Q420" s="70" t="s">
        <v>76</v>
      </c>
      <c r="R420" s="70" t="s">
        <v>88</v>
      </c>
      <c r="T420" s="70" t="s">
        <v>77</v>
      </c>
      <c r="U420" s="287" t="s">
        <v>1255</v>
      </c>
      <c r="V420" s="70">
        <v>1</v>
      </c>
      <c r="W420" s="70" t="s">
        <v>53</v>
      </c>
      <c r="Y420" s="70" t="s">
        <v>44</v>
      </c>
      <c r="Z420" s="70" t="s">
        <v>1256</v>
      </c>
      <c r="AA420" s="70" t="s">
        <v>47</v>
      </c>
      <c r="AB420" s="70" t="s">
        <v>47</v>
      </c>
      <c r="AC420" s="157" t="s">
        <v>1257</v>
      </c>
      <c r="AD420" s="304" t="s">
        <v>1258</v>
      </c>
      <c r="AF420" s="75" t="s">
        <v>47</v>
      </c>
    </row>
    <row r="421" spans="1:32" s="70" customFormat="1" ht="15">
      <c r="A421" s="70" t="s">
        <v>1226</v>
      </c>
      <c r="B421" s="68">
        <v>46196</v>
      </c>
      <c r="C421" s="68"/>
      <c r="D421" s="68">
        <v>46235</v>
      </c>
      <c r="E421" s="68">
        <v>46236</v>
      </c>
      <c r="F421" s="68">
        <v>46218</v>
      </c>
      <c r="M421" s="70" t="s">
        <v>72</v>
      </c>
      <c r="N421" s="70" t="s">
        <v>1068</v>
      </c>
      <c r="O421" s="70" t="s">
        <v>1259</v>
      </c>
      <c r="P421" s="70" t="s">
        <v>1260</v>
      </c>
      <c r="Q421" s="70" t="s">
        <v>76</v>
      </c>
      <c r="R421" s="70" t="s">
        <v>88</v>
      </c>
      <c r="U421" s="70" t="s">
        <v>1261</v>
      </c>
      <c r="V421" s="70" t="s">
        <v>271</v>
      </c>
      <c r="W421" s="70" t="s">
        <v>53</v>
      </c>
      <c r="X421" s="70" t="s">
        <v>44</v>
      </c>
      <c r="Y421" s="70" t="s">
        <v>44</v>
      </c>
      <c r="Z421" s="70" t="s">
        <v>579</v>
      </c>
      <c r="AA421" s="70" t="s">
        <v>44</v>
      </c>
      <c r="AB421" s="70" t="s">
        <v>47</v>
      </c>
      <c r="AC421" s="70" t="s">
        <v>1262</v>
      </c>
      <c r="AD421" s="296" t="s">
        <v>1263</v>
      </c>
      <c r="AF421" s="75" t="s">
        <v>47</v>
      </c>
    </row>
    <row r="422" spans="1:32" s="70" customFormat="1">
      <c r="A422" s="70" t="s">
        <v>1226</v>
      </c>
      <c r="B422" s="68">
        <v>46198</v>
      </c>
      <c r="C422" s="68">
        <v>46203</v>
      </c>
      <c r="D422" s="68">
        <v>46210</v>
      </c>
      <c r="E422" s="68">
        <v>46227</v>
      </c>
      <c r="F422" s="68">
        <v>46216</v>
      </c>
      <c r="G422" s="163" t="s">
        <v>1226</v>
      </c>
      <c r="H422" s="97">
        <v>124000</v>
      </c>
      <c r="I422" s="70">
        <f>+H422*J422</f>
        <v>620</v>
      </c>
      <c r="J422" s="114">
        <v>5.0000000000000001E-3</v>
      </c>
      <c r="M422" s="70" t="s">
        <v>72</v>
      </c>
      <c r="N422" s="70" t="s">
        <v>126</v>
      </c>
      <c r="O422" s="70" t="s">
        <v>74</v>
      </c>
      <c r="P422" s="70" t="s">
        <v>1264</v>
      </c>
      <c r="Q422" s="70" t="s">
        <v>37</v>
      </c>
      <c r="R422" s="70" t="s">
        <v>38</v>
      </c>
      <c r="S422" s="97">
        <v>124000</v>
      </c>
      <c r="T422" s="70" t="s">
        <v>1265</v>
      </c>
      <c r="W422" s="70" t="s">
        <v>53</v>
      </c>
      <c r="X422" s="70" t="s">
        <v>44</v>
      </c>
      <c r="Y422" s="70" t="s">
        <v>44</v>
      </c>
      <c r="Z422" s="70" t="s">
        <v>1266</v>
      </c>
      <c r="AA422" s="70" t="s">
        <v>44</v>
      </c>
      <c r="AB422" s="70" t="s">
        <v>47</v>
      </c>
      <c r="AC422" s="70" t="s">
        <v>1267</v>
      </c>
      <c r="AD422" s="291" t="s">
        <v>1268</v>
      </c>
      <c r="AF422" s="75" t="s">
        <v>47</v>
      </c>
    </row>
    <row r="423" spans="1:32" s="163" customFormat="1" ht="15">
      <c r="A423" s="163" t="s">
        <v>1226</v>
      </c>
      <c r="B423" s="164">
        <v>46223</v>
      </c>
      <c r="C423" s="164"/>
      <c r="D423" s="164">
        <v>46249</v>
      </c>
      <c r="E423" s="164">
        <v>46259</v>
      </c>
      <c r="F423" s="164">
        <v>46249</v>
      </c>
      <c r="I423" s="163">
        <v>150</v>
      </c>
      <c r="M423" s="163" t="s">
        <v>33</v>
      </c>
      <c r="N423" s="163" t="s">
        <v>962</v>
      </c>
      <c r="O423" s="163" t="s">
        <v>262</v>
      </c>
      <c r="P423" s="163" t="s">
        <v>1081</v>
      </c>
      <c r="Q423" s="163" t="s">
        <v>37</v>
      </c>
      <c r="R423" s="163" t="s">
        <v>88</v>
      </c>
      <c r="U423" s="305" t="s">
        <v>1269</v>
      </c>
      <c r="V423" s="163">
        <v>1</v>
      </c>
      <c r="W423" s="163" t="s">
        <v>53</v>
      </c>
      <c r="X423" s="163" t="s">
        <v>44</v>
      </c>
      <c r="Y423" s="163" t="s">
        <v>47</v>
      </c>
      <c r="Z423" s="163" t="s">
        <v>1136</v>
      </c>
      <c r="AA423" s="163" t="s">
        <v>44</v>
      </c>
      <c r="AB423" s="163" t="s">
        <v>44</v>
      </c>
      <c r="AC423" s="163" t="s">
        <v>1270</v>
      </c>
      <c r="AD423" s="299" t="s">
        <v>1271</v>
      </c>
      <c r="AF423" s="75" t="s">
        <v>47</v>
      </c>
    </row>
    <row r="424" spans="1:32" ht="15">
      <c r="A424" s="28" t="s">
        <v>1226</v>
      </c>
      <c r="B424" s="103">
        <v>46233</v>
      </c>
      <c r="C424" s="103"/>
      <c r="D424" s="103">
        <v>46287</v>
      </c>
      <c r="E424" s="103">
        <v>46293</v>
      </c>
      <c r="F424" s="307">
        <v>46286</v>
      </c>
      <c r="G424" s="28"/>
      <c r="I424" s="28">
        <v>150</v>
      </c>
      <c r="J424" s="28"/>
      <c r="L424" s="28"/>
      <c r="M424" s="28" t="s">
        <v>72</v>
      </c>
      <c r="N424" s="28" t="s">
        <v>962</v>
      </c>
      <c r="O424" s="28" t="s">
        <v>262</v>
      </c>
      <c r="P424" s="28" t="s">
        <v>1081</v>
      </c>
      <c r="Q424" s="28" t="s">
        <v>37</v>
      </c>
      <c r="R424" s="28" t="s">
        <v>88</v>
      </c>
      <c r="U424" s="306" t="s">
        <v>1272</v>
      </c>
      <c r="V424" s="28">
        <v>1</v>
      </c>
      <c r="W424" s="28" t="s">
        <v>53</v>
      </c>
      <c r="X424" s="28" t="s">
        <v>44</v>
      </c>
      <c r="Y424" s="28" t="s">
        <v>47</v>
      </c>
      <c r="Z424" s="28" t="s">
        <v>1136</v>
      </c>
      <c r="AA424" s="28" t="s">
        <v>44</v>
      </c>
      <c r="AB424" s="28" t="s">
        <v>44</v>
      </c>
    </row>
    <row r="425" spans="1:32">
      <c r="C425" s="103"/>
      <c r="F425" s="103"/>
      <c r="G425" s="28"/>
      <c r="J425" s="28"/>
      <c r="L425" s="28"/>
      <c r="M425" s="28"/>
      <c r="Q425" s="28"/>
      <c r="R425" s="28"/>
      <c r="W425" s="28"/>
      <c r="X425" s="28"/>
      <c r="Y425" s="28"/>
      <c r="AA425" s="28"/>
      <c r="AB425" s="28"/>
    </row>
    <row r="426" spans="1:32">
      <c r="C426" s="103"/>
      <c r="F426" s="103"/>
      <c r="G426" s="28"/>
      <c r="J426" s="28"/>
      <c r="L426" s="28"/>
      <c r="M426" s="28"/>
      <c r="Q426" s="28"/>
      <c r="R426" s="28"/>
      <c r="W426" s="28"/>
      <c r="X426" s="28"/>
      <c r="Y426" s="28"/>
      <c r="AA426" s="28"/>
      <c r="AB426" s="28"/>
    </row>
    <row r="427" spans="1:32">
      <c r="C427" s="103"/>
      <c r="F427" s="103"/>
      <c r="G427" s="28"/>
      <c r="J427" s="28"/>
      <c r="L427" s="28"/>
      <c r="M427" s="28"/>
      <c r="Q427" s="28"/>
      <c r="R427" s="28"/>
      <c r="W427" s="28"/>
      <c r="X427" s="28"/>
      <c r="Y427" s="28"/>
      <c r="AA427" s="28"/>
      <c r="AB427" s="28"/>
    </row>
    <row r="428" spans="1:32">
      <c r="C428" s="103"/>
      <c r="F428" s="103"/>
      <c r="G428" s="28"/>
      <c r="J428" s="28"/>
      <c r="L428" s="28"/>
      <c r="M428" s="28"/>
      <c r="Q428" s="28"/>
      <c r="R428" s="28"/>
      <c r="W428" s="28"/>
      <c r="X428" s="28"/>
      <c r="Y428" s="28"/>
      <c r="AA428" s="28"/>
      <c r="AB428" s="28"/>
    </row>
    <row r="429" spans="1:32">
      <c r="C429" s="103"/>
      <c r="F429" s="103"/>
      <c r="G429" s="28"/>
      <c r="J429" s="28"/>
      <c r="L429" s="28"/>
      <c r="M429" s="28"/>
      <c r="Q429" s="28"/>
      <c r="R429" s="28"/>
      <c r="W429" s="28"/>
      <c r="X429" s="28"/>
      <c r="Y429" s="28"/>
      <c r="AA429" s="28"/>
      <c r="AB429" s="28"/>
    </row>
    <row r="430" spans="1:32">
      <c r="C430" s="103"/>
      <c r="F430" s="103"/>
      <c r="G430" s="28"/>
      <c r="J430" s="28"/>
      <c r="L430" s="28"/>
      <c r="M430" s="28"/>
      <c r="Q430" s="28"/>
      <c r="R430" s="28"/>
      <c r="W430" s="28"/>
      <c r="X430" s="28"/>
      <c r="Y430" s="28"/>
      <c r="AA430" s="28"/>
      <c r="AB430" s="28"/>
    </row>
    <row r="431" spans="1:32">
      <c r="C431" s="103"/>
      <c r="F431" s="103"/>
      <c r="G431" s="28"/>
      <c r="J431" s="28"/>
      <c r="L431" s="28"/>
      <c r="M431" s="28"/>
      <c r="Q431" s="28"/>
      <c r="R431" s="28"/>
      <c r="W431" s="28"/>
      <c r="X431" s="28"/>
      <c r="Y431" s="28"/>
      <c r="AA431" s="28"/>
      <c r="AB431" s="28"/>
    </row>
    <row r="432" spans="1:32">
      <c r="C432" s="103"/>
      <c r="F432" s="103"/>
      <c r="G432" s="28"/>
      <c r="J432" s="28"/>
      <c r="L432" s="28"/>
      <c r="M432" s="28"/>
      <c r="Q432" s="28"/>
      <c r="R432" s="28"/>
      <c r="W432" s="28"/>
      <c r="X432" s="28"/>
      <c r="Y432" s="28"/>
      <c r="AA432" s="28"/>
      <c r="AB432" s="28"/>
    </row>
    <row r="433" spans="3:28">
      <c r="C433" s="103"/>
      <c r="F433" s="103"/>
      <c r="G433" s="28"/>
      <c r="J433" s="28"/>
      <c r="L433" s="28"/>
      <c r="M433" s="28"/>
      <c r="Q433" s="28"/>
      <c r="R433" s="28"/>
      <c r="W433" s="28"/>
      <c r="X433" s="28"/>
      <c r="Y433" s="28"/>
      <c r="AA433" s="28"/>
      <c r="AB433" s="28"/>
    </row>
    <row r="434" spans="3:28">
      <c r="C434" s="103"/>
      <c r="F434" s="103"/>
      <c r="G434" s="28"/>
      <c r="J434" s="28"/>
      <c r="L434" s="28"/>
      <c r="M434" s="28"/>
      <c r="Q434" s="28"/>
      <c r="R434" s="28"/>
      <c r="W434" s="28"/>
      <c r="X434" s="28"/>
      <c r="Y434" s="28"/>
      <c r="AA434" s="28"/>
      <c r="AB434" s="28"/>
    </row>
    <row r="435" spans="3:28">
      <c r="C435" s="103"/>
      <c r="F435" s="103"/>
      <c r="G435" s="28"/>
      <c r="J435" s="28"/>
      <c r="L435" s="28"/>
      <c r="M435" s="28"/>
      <c r="Q435" s="28"/>
      <c r="R435" s="28"/>
      <c r="W435" s="28"/>
      <c r="X435" s="28"/>
      <c r="Y435" s="28"/>
      <c r="AA435" s="28"/>
      <c r="AB435" s="28"/>
    </row>
    <row r="436" spans="3:28">
      <c r="C436" s="103"/>
      <c r="F436" s="103"/>
      <c r="G436" s="28"/>
      <c r="J436" s="28"/>
      <c r="L436" s="28"/>
      <c r="M436" s="28"/>
      <c r="Q436" s="28"/>
      <c r="R436" s="28"/>
      <c r="W436" s="28"/>
      <c r="X436" s="28"/>
      <c r="Y436" s="28"/>
      <c r="AA436" s="28"/>
      <c r="AB436" s="28"/>
    </row>
    <row r="437" spans="3:28">
      <c r="C437" s="103"/>
      <c r="F437" s="103"/>
      <c r="G437" s="28"/>
      <c r="J437" s="28"/>
      <c r="L437" s="28"/>
      <c r="M437" s="28"/>
      <c r="Q437" s="28"/>
      <c r="R437" s="28"/>
      <c r="W437" s="28"/>
      <c r="X437" s="28"/>
      <c r="Y437" s="28"/>
      <c r="AA437" s="28"/>
      <c r="AB437" s="28"/>
    </row>
    <row r="438" spans="3:28">
      <c r="C438" s="103"/>
      <c r="F438" s="103"/>
      <c r="G438" s="28"/>
      <c r="J438" s="28"/>
      <c r="L438" s="28"/>
      <c r="M438" s="28"/>
      <c r="Q438" s="28"/>
      <c r="R438" s="28"/>
      <c r="W438" s="28"/>
      <c r="X438" s="28"/>
      <c r="Y438" s="28"/>
      <c r="AA438" s="28"/>
      <c r="AB438" s="28"/>
    </row>
    <row r="439" spans="3:28">
      <c r="C439" s="103"/>
      <c r="F439" s="103"/>
      <c r="G439" s="28"/>
      <c r="J439" s="28"/>
      <c r="L439" s="28"/>
      <c r="M439" s="28"/>
      <c r="Q439" s="28"/>
      <c r="R439" s="28"/>
      <c r="W439" s="28"/>
      <c r="X439" s="28"/>
      <c r="Y439" s="28"/>
      <c r="AA439" s="28"/>
      <c r="AB439" s="28"/>
    </row>
    <row r="440" spans="3:28">
      <c r="C440" s="103"/>
      <c r="F440" s="103"/>
      <c r="G440" s="28"/>
      <c r="J440" s="28"/>
      <c r="L440" s="28"/>
      <c r="M440" s="28"/>
      <c r="Q440" s="28"/>
      <c r="R440" s="28"/>
      <c r="W440" s="28"/>
      <c r="X440" s="28"/>
      <c r="Y440" s="28"/>
      <c r="AA440" s="28"/>
      <c r="AB440" s="28"/>
    </row>
    <row r="441" spans="3:28">
      <c r="C441" s="103"/>
      <c r="F441" s="103"/>
      <c r="G441" s="28"/>
      <c r="J441" s="28"/>
      <c r="L441" s="28"/>
      <c r="M441" s="28"/>
      <c r="Q441" s="28"/>
      <c r="R441" s="28"/>
      <c r="W441" s="28"/>
      <c r="X441" s="28"/>
      <c r="Y441" s="28"/>
      <c r="AA441" s="28"/>
      <c r="AB441" s="28"/>
    </row>
    <row r="442" spans="3:28">
      <c r="C442" s="103"/>
      <c r="F442" s="103"/>
      <c r="G442" s="28"/>
      <c r="J442" s="28"/>
      <c r="L442" s="28"/>
      <c r="M442" s="28"/>
      <c r="Q442" s="28"/>
      <c r="R442" s="28"/>
      <c r="W442" s="28"/>
      <c r="X442" s="28"/>
      <c r="Y442" s="28"/>
      <c r="AA442" s="28"/>
      <c r="AB442" s="28"/>
    </row>
    <row r="443" spans="3:28">
      <c r="C443" s="103"/>
      <c r="F443" s="103"/>
      <c r="G443" s="28"/>
      <c r="J443" s="28"/>
      <c r="L443" s="28"/>
      <c r="M443" s="28"/>
      <c r="Q443" s="28"/>
      <c r="R443" s="28"/>
      <c r="W443" s="28"/>
      <c r="X443" s="28"/>
      <c r="Y443" s="28"/>
      <c r="AA443" s="28"/>
      <c r="AB443" s="28"/>
    </row>
    <row r="444" spans="3:28">
      <c r="C444" s="103"/>
      <c r="F444" s="103"/>
      <c r="G444" s="28"/>
      <c r="J444" s="28"/>
      <c r="L444" s="28"/>
      <c r="M444" s="28"/>
      <c r="Q444" s="28"/>
      <c r="R444" s="28"/>
      <c r="W444" s="28"/>
      <c r="X444" s="28"/>
      <c r="Y444" s="28"/>
      <c r="AA444" s="28"/>
      <c r="AB444" s="28"/>
    </row>
    <row r="445" spans="3:28">
      <c r="C445" s="103"/>
      <c r="F445" s="103"/>
      <c r="G445" s="28"/>
      <c r="J445" s="28"/>
      <c r="L445" s="28"/>
      <c r="M445" s="28"/>
      <c r="Q445" s="28"/>
      <c r="R445" s="28"/>
      <c r="W445" s="28"/>
      <c r="X445" s="28"/>
      <c r="Y445" s="28"/>
      <c r="AA445" s="28"/>
      <c r="AB445" s="28"/>
    </row>
    <row r="446" spans="3:28">
      <c r="C446" s="103"/>
      <c r="F446" s="103"/>
      <c r="G446" s="28"/>
      <c r="J446" s="28"/>
      <c r="L446" s="28"/>
      <c r="M446" s="28"/>
      <c r="Q446" s="28"/>
      <c r="R446" s="28"/>
      <c r="W446" s="28"/>
      <c r="X446" s="28"/>
      <c r="Y446" s="28"/>
      <c r="AA446" s="28"/>
      <c r="AB446" s="28"/>
    </row>
    <row r="447" spans="3:28">
      <c r="C447" s="103"/>
      <c r="F447" s="103"/>
      <c r="G447" s="28"/>
      <c r="J447" s="28"/>
      <c r="L447" s="28"/>
      <c r="M447" s="28"/>
      <c r="Q447" s="28"/>
      <c r="R447" s="28"/>
      <c r="W447" s="28"/>
      <c r="X447" s="28"/>
      <c r="Y447" s="28"/>
      <c r="AA447" s="28"/>
      <c r="AB447" s="28"/>
    </row>
    <row r="448" spans="3:28">
      <c r="C448" s="103"/>
      <c r="F448" s="103"/>
      <c r="G448" s="28"/>
      <c r="J448" s="28"/>
      <c r="L448" s="28"/>
      <c r="M448" s="28"/>
      <c r="Q448" s="28"/>
      <c r="R448" s="28"/>
      <c r="W448" s="28"/>
      <c r="X448" s="28"/>
      <c r="Y448" s="28"/>
      <c r="AA448" s="28"/>
      <c r="AB448" s="28"/>
    </row>
    <row r="449" spans="3:28">
      <c r="C449" s="103"/>
      <c r="F449" s="103"/>
      <c r="G449" s="28"/>
      <c r="J449" s="28"/>
      <c r="L449" s="28"/>
      <c r="M449" s="28"/>
      <c r="Q449" s="28"/>
      <c r="R449" s="28"/>
      <c r="W449" s="28"/>
      <c r="X449" s="28"/>
      <c r="Y449" s="28"/>
      <c r="AA449" s="28"/>
      <c r="AB449" s="28"/>
    </row>
    <row r="450" spans="3:28">
      <c r="C450" s="103"/>
      <c r="F450" s="103"/>
      <c r="G450" s="28"/>
      <c r="J450" s="28"/>
      <c r="L450" s="28"/>
      <c r="M450" s="28"/>
      <c r="Q450" s="28"/>
      <c r="R450" s="28"/>
      <c r="W450" s="28"/>
      <c r="X450" s="28"/>
      <c r="Y450" s="28"/>
      <c r="AA450" s="28"/>
      <c r="AB450" s="28"/>
    </row>
    <row r="451" spans="3:28">
      <c r="C451" s="103"/>
      <c r="F451" s="103"/>
      <c r="G451" s="28"/>
      <c r="J451" s="28"/>
      <c r="L451" s="28"/>
      <c r="M451" s="28"/>
      <c r="Q451" s="28"/>
      <c r="R451" s="28"/>
      <c r="W451" s="28"/>
      <c r="X451" s="28"/>
      <c r="Y451" s="28"/>
      <c r="AA451" s="28"/>
      <c r="AB451" s="28"/>
    </row>
    <row r="452" spans="3:28">
      <c r="C452" s="103"/>
      <c r="F452" s="103"/>
      <c r="G452" s="28"/>
      <c r="J452" s="28"/>
      <c r="L452" s="28"/>
      <c r="M452" s="28"/>
      <c r="Q452" s="28"/>
      <c r="R452" s="28"/>
      <c r="W452" s="28"/>
      <c r="X452" s="28"/>
      <c r="Y452" s="28"/>
      <c r="AA452" s="28"/>
      <c r="AB452" s="28"/>
    </row>
    <row r="453" spans="3:28">
      <c r="C453" s="103"/>
      <c r="F453" s="103"/>
      <c r="G453" s="28"/>
      <c r="J453" s="28"/>
      <c r="L453" s="28"/>
      <c r="M453" s="28"/>
      <c r="Q453" s="28"/>
      <c r="R453" s="28"/>
      <c r="W453" s="28"/>
      <c r="X453" s="28"/>
      <c r="Y453" s="28"/>
      <c r="AA453" s="28"/>
      <c r="AB453" s="28"/>
    </row>
    <row r="454" spans="3:28">
      <c r="C454" s="103"/>
      <c r="F454" s="103"/>
      <c r="G454" s="28"/>
      <c r="J454" s="28"/>
      <c r="L454" s="28"/>
      <c r="M454" s="28"/>
      <c r="Q454" s="28"/>
      <c r="R454" s="28"/>
      <c r="W454" s="28"/>
      <c r="X454" s="28"/>
      <c r="Y454" s="28"/>
      <c r="AA454" s="28"/>
      <c r="AB454" s="28"/>
    </row>
    <row r="455" spans="3:28">
      <c r="C455" s="103"/>
      <c r="F455" s="103"/>
      <c r="G455" s="28"/>
      <c r="J455" s="28"/>
      <c r="L455" s="28"/>
      <c r="M455" s="28"/>
      <c r="Q455" s="28"/>
      <c r="R455" s="28"/>
      <c r="W455" s="28"/>
      <c r="X455" s="28"/>
      <c r="Y455" s="28"/>
      <c r="AA455" s="28"/>
      <c r="AB455" s="28"/>
    </row>
    <row r="456" spans="3:28">
      <c r="C456" s="103"/>
      <c r="F456" s="103"/>
      <c r="G456" s="28"/>
      <c r="J456" s="28"/>
      <c r="L456" s="28"/>
      <c r="M456" s="28"/>
      <c r="Q456" s="28"/>
      <c r="R456" s="28"/>
      <c r="W456" s="28"/>
      <c r="X456" s="28"/>
      <c r="Y456" s="28"/>
      <c r="AA456" s="28"/>
      <c r="AB456" s="28"/>
    </row>
    <row r="457" spans="3:28">
      <c r="C457" s="103"/>
      <c r="F457" s="103"/>
      <c r="G457" s="28"/>
      <c r="J457" s="28"/>
      <c r="L457" s="28"/>
      <c r="M457" s="28"/>
      <c r="Q457" s="28"/>
      <c r="R457" s="28"/>
      <c r="W457" s="28"/>
      <c r="X457" s="28"/>
      <c r="Y457" s="28"/>
      <c r="AA457" s="28"/>
      <c r="AB457" s="28"/>
    </row>
    <row r="458" spans="3:28">
      <c r="C458" s="103"/>
      <c r="F458" s="103"/>
      <c r="G458" s="28"/>
      <c r="J458" s="28"/>
      <c r="L458" s="28"/>
      <c r="M458" s="28"/>
      <c r="Q458" s="28"/>
      <c r="R458" s="28"/>
      <c r="W458" s="28"/>
      <c r="X458" s="28"/>
      <c r="Y458" s="28"/>
      <c r="AA458" s="28"/>
      <c r="AB458" s="28"/>
    </row>
    <row r="459" spans="3:28">
      <c r="C459" s="103"/>
      <c r="F459" s="103"/>
      <c r="G459" s="28"/>
      <c r="J459" s="28"/>
      <c r="L459" s="28"/>
      <c r="M459" s="28"/>
      <c r="Q459" s="28"/>
      <c r="R459" s="28"/>
      <c r="W459" s="28"/>
      <c r="X459" s="28"/>
      <c r="Y459" s="28"/>
      <c r="AA459" s="28"/>
      <c r="AB459" s="28"/>
    </row>
    <row r="460" spans="3:28">
      <c r="C460" s="103"/>
      <c r="F460" s="103"/>
      <c r="G460" s="28"/>
      <c r="J460" s="28"/>
      <c r="L460" s="28"/>
      <c r="M460" s="28"/>
      <c r="Q460" s="28"/>
      <c r="R460" s="28"/>
      <c r="W460" s="28"/>
      <c r="X460" s="28"/>
      <c r="Y460" s="28"/>
      <c r="AA460" s="28"/>
      <c r="AB460" s="28"/>
    </row>
    <row r="461" spans="3:28">
      <c r="C461" s="103"/>
      <c r="F461" s="103"/>
      <c r="G461" s="28"/>
      <c r="J461" s="28"/>
      <c r="L461" s="28"/>
      <c r="M461" s="28"/>
      <c r="Q461" s="28"/>
      <c r="R461" s="28"/>
      <c r="W461" s="28"/>
      <c r="X461" s="28"/>
      <c r="Y461" s="28"/>
      <c r="AA461" s="28"/>
      <c r="AB461" s="28"/>
    </row>
    <row r="462" spans="3:28">
      <c r="C462" s="103"/>
      <c r="F462" s="103"/>
      <c r="G462" s="28"/>
      <c r="J462" s="28"/>
      <c r="L462" s="28"/>
      <c r="M462" s="28"/>
      <c r="Q462" s="28"/>
      <c r="R462" s="28"/>
      <c r="W462" s="28"/>
      <c r="X462" s="28"/>
      <c r="Y462" s="28"/>
      <c r="AA462" s="28"/>
      <c r="AB462" s="28"/>
    </row>
    <row r="463" spans="3:28">
      <c r="C463" s="103"/>
      <c r="F463" s="103"/>
      <c r="G463" s="28"/>
      <c r="J463" s="28"/>
      <c r="L463" s="28"/>
      <c r="M463" s="28"/>
      <c r="Q463" s="28"/>
      <c r="R463" s="28"/>
      <c r="W463" s="28"/>
      <c r="X463" s="28"/>
      <c r="Y463" s="28"/>
      <c r="AA463" s="28"/>
      <c r="AB463" s="28"/>
    </row>
    <row r="464" spans="3:28">
      <c r="C464" s="103"/>
      <c r="F464" s="103"/>
      <c r="G464" s="28"/>
      <c r="J464" s="28"/>
      <c r="L464" s="28"/>
      <c r="M464" s="28"/>
      <c r="Q464" s="28"/>
      <c r="R464" s="28"/>
      <c r="W464" s="28"/>
      <c r="X464" s="28"/>
      <c r="Y464" s="28"/>
      <c r="AA464" s="28"/>
      <c r="AB464" s="28"/>
    </row>
    <row r="465" spans="3:28">
      <c r="C465" s="103"/>
      <c r="F465" s="103"/>
      <c r="G465" s="28"/>
      <c r="J465" s="28"/>
      <c r="L465" s="28"/>
      <c r="M465" s="28"/>
      <c r="Q465" s="28"/>
      <c r="R465" s="28"/>
      <c r="W465" s="28"/>
      <c r="X465" s="28"/>
      <c r="Y465" s="28"/>
      <c r="AA465" s="28"/>
      <c r="AB465" s="28"/>
    </row>
    <row r="466" spans="3:28">
      <c r="C466" s="103"/>
      <c r="F466" s="103"/>
      <c r="G466" s="28"/>
      <c r="J466" s="28"/>
      <c r="L466" s="28"/>
      <c r="M466" s="28"/>
      <c r="Q466" s="28"/>
      <c r="R466" s="28"/>
      <c r="W466" s="28"/>
      <c r="X466" s="28"/>
      <c r="Y466" s="28"/>
      <c r="AA466" s="28"/>
      <c r="AB466" s="28"/>
    </row>
    <row r="467" spans="3:28">
      <c r="C467" s="103"/>
      <c r="F467" s="103"/>
      <c r="G467" s="28"/>
      <c r="J467" s="28"/>
      <c r="L467" s="28"/>
      <c r="M467" s="28"/>
      <c r="Q467" s="28"/>
      <c r="R467" s="28"/>
      <c r="W467" s="28"/>
      <c r="X467" s="28"/>
      <c r="Y467" s="28"/>
      <c r="AA467" s="28"/>
      <c r="AB467" s="28"/>
    </row>
    <row r="468" spans="3:28">
      <c r="C468" s="103"/>
      <c r="F468" s="103"/>
      <c r="G468" s="28"/>
      <c r="J468" s="28"/>
      <c r="L468" s="28"/>
      <c r="M468" s="28"/>
      <c r="Q468" s="28"/>
      <c r="R468" s="28"/>
      <c r="W468" s="28"/>
      <c r="X468" s="28"/>
      <c r="Y468" s="28"/>
      <c r="AA468" s="28"/>
      <c r="AB468" s="28"/>
    </row>
    <row r="469" spans="3:28">
      <c r="C469" s="103"/>
      <c r="F469" s="103"/>
      <c r="G469" s="28"/>
      <c r="J469" s="28"/>
      <c r="L469" s="28"/>
      <c r="M469" s="28"/>
      <c r="Q469" s="28"/>
      <c r="R469" s="28"/>
      <c r="W469" s="28"/>
      <c r="X469" s="28"/>
      <c r="Y469" s="28"/>
      <c r="AA469" s="28"/>
      <c r="AB469" s="28"/>
    </row>
    <row r="470" spans="3:28">
      <c r="C470" s="103"/>
      <c r="F470" s="103"/>
      <c r="G470" s="28"/>
      <c r="J470" s="28"/>
      <c r="L470" s="28"/>
      <c r="M470" s="28"/>
      <c r="Q470" s="28"/>
      <c r="R470" s="28"/>
      <c r="W470" s="28"/>
      <c r="X470" s="28"/>
      <c r="Y470" s="28"/>
      <c r="AA470" s="28"/>
      <c r="AB470" s="28"/>
    </row>
    <row r="471" spans="3:28">
      <c r="C471" s="103"/>
      <c r="F471" s="103"/>
      <c r="G471" s="28"/>
      <c r="J471" s="28"/>
      <c r="L471" s="28"/>
      <c r="M471" s="28"/>
      <c r="Q471" s="28"/>
      <c r="R471" s="28"/>
      <c r="W471" s="28"/>
      <c r="X471" s="28"/>
      <c r="Y471" s="28"/>
      <c r="AA471" s="28"/>
      <c r="AB471" s="28"/>
    </row>
    <row r="472" spans="3:28">
      <c r="C472" s="103"/>
      <c r="F472" s="103"/>
      <c r="G472" s="28"/>
      <c r="J472" s="28"/>
      <c r="L472" s="28"/>
      <c r="M472" s="28"/>
      <c r="Q472" s="28"/>
      <c r="R472" s="28"/>
      <c r="W472" s="28"/>
      <c r="X472" s="28"/>
      <c r="Y472" s="28"/>
      <c r="AA472" s="28"/>
      <c r="AB472" s="28"/>
    </row>
    <row r="473" spans="3:28">
      <c r="C473" s="103"/>
      <c r="F473" s="103"/>
      <c r="G473" s="28"/>
      <c r="J473" s="28"/>
      <c r="L473" s="28"/>
      <c r="M473" s="28"/>
      <c r="Q473" s="28"/>
      <c r="R473" s="28"/>
      <c r="W473" s="28"/>
      <c r="X473" s="28"/>
      <c r="Y473" s="28"/>
      <c r="AA473" s="28"/>
      <c r="AB473" s="28"/>
    </row>
    <row r="474" spans="3:28">
      <c r="C474" s="103"/>
      <c r="F474" s="103"/>
      <c r="G474" s="28"/>
      <c r="J474" s="28"/>
      <c r="L474" s="28"/>
      <c r="M474" s="28"/>
      <c r="Q474" s="28"/>
      <c r="R474" s="28"/>
      <c r="W474" s="28"/>
      <c r="X474" s="28"/>
      <c r="Y474" s="28"/>
      <c r="AA474" s="28"/>
      <c r="AB474" s="28"/>
    </row>
    <row r="475" spans="3:28">
      <c r="C475" s="103"/>
      <c r="F475" s="103"/>
      <c r="G475" s="28"/>
      <c r="J475" s="28"/>
      <c r="L475" s="28"/>
      <c r="M475" s="28"/>
      <c r="Q475" s="28"/>
      <c r="R475" s="28"/>
      <c r="W475" s="28"/>
      <c r="X475" s="28"/>
      <c r="Y475" s="28"/>
      <c r="AA475" s="28"/>
      <c r="AB475" s="28"/>
    </row>
    <row r="476" spans="3:28">
      <c r="C476" s="103"/>
      <c r="F476" s="103"/>
      <c r="G476" s="28"/>
      <c r="J476" s="28"/>
      <c r="L476" s="28"/>
      <c r="M476" s="28"/>
      <c r="Q476" s="28"/>
      <c r="R476" s="28"/>
      <c r="W476" s="28"/>
      <c r="X476" s="28"/>
      <c r="Y476" s="28"/>
      <c r="AA476" s="28"/>
      <c r="AB476" s="28"/>
    </row>
    <row r="477" spans="3:28">
      <c r="C477" s="103"/>
      <c r="F477" s="103"/>
      <c r="G477" s="28"/>
      <c r="J477" s="28"/>
      <c r="L477" s="28"/>
      <c r="M477" s="28"/>
      <c r="Q477" s="28"/>
      <c r="R477" s="28"/>
      <c r="W477" s="28"/>
      <c r="X477" s="28"/>
      <c r="Y477" s="28"/>
      <c r="AA477" s="28"/>
      <c r="AB477" s="28"/>
    </row>
    <row r="478" spans="3:28">
      <c r="C478" s="103"/>
      <c r="F478" s="103"/>
      <c r="G478" s="28"/>
      <c r="J478" s="28"/>
      <c r="L478" s="28"/>
      <c r="M478" s="28"/>
      <c r="Q478" s="28"/>
      <c r="R478" s="28"/>
      <c r="W478" s="28"/>
      <c r="X478" s="28"/>
      <c r="Y478" s="28"/>
      <c r="AA478" s="28"/>
      <c r="AB478" s="28"/>
    </row>
    <row r="479" spans="3:28">
      <c r="C479" s="103"/>
      <c r="F479" s="103"/>
      <c r="G479" s="28"/>
      <c r="J479" s="28"/>
      <c r="L479" s="28"/>
      <c r="M479" s="28"/>
      <c r="Q479" s="28"/>
      <c r="R479" s="28"/>
      <c r="W479" s="28"/>
      <c r="X479" s="28"/>
      <c r="Y479" s="28"/>
      <c r="AA479" s="28"/>
      <c r="AB479" s="28"/>
    </row>
    <row r="480" spans="3:28">
      <c r="C480" s="103"/>
      <c r="F480" s="103"/>
      <c r="G480" s="28"/>
      <c r="J480" s="28"/>
      <c r="L480" s="28"/>
      <c r="M480" s="28"/>
      <c r="Q480" s="28"/>
      <c r="R480" s="28"/>
      <c r="W480" s="28"/>
      <c r="X480" s="28"/>
      <c r="Y480" s="28"/>
      <c r="AA480" s="28"/>
      <c r="AB480" s="28"/>
    </row>
    <row r="481" spans="3:28">
      <c r="C481" s="103"/>
      <c r="F481" s="103"/>
      <c r="G481" s="28"/>
      <c r="J481" s="28"/>
      <c r="L481" s="28"/>
      <c r="M481" s="28"/>
      <c r="Q481" s="28"/>
      <c r="R481" s="28"/>
      <c r="W481" s="28"/>
      <c r="X481" s="28"/>
      <c r="Y481" s="28"/>
      <c r="AA481" s="28"/>
      <c r="AB481" s="28"/>
    </row>
    <row r="482" spans="3:28">
      <c r="C482" s="103"/>
      <c r="F482" s="103"/>
      <c r="G482" s="28"/>
      <c r="J482" s="28"/>
      <c r="L482" s="28"/>
      <c r="M482" s="28"/>
      <c r="Q482" s="28"/>
      <c r="R482" s="28"/>
      <c r="W482" s="28"/>
      <c r="X482" s="28"/>
      <c r="Y482" s="28"/>
      <c r="AA482" s="28"/>
      <c r="AB482" s="28"/>
    </row>
    <row r="483" spans="3:28">
      <c r="C483" s="103"/>
      <c r="F483" s="103"/>
      <c r="G483" s="28"/>
      <c r="J483" s="28"/>
      <c r="L483" s="28"/>
      <c r="M483" s="28"/>
      <c r="Q483" s="28"/>
      <c r="R483" s="28"/>
      <c r="W483" s="28"/>
      <c r="X483" s="28"/>
      <c r="Y483" s="28"/>
      <c r="AA483" s="28"/>
      <c r="AB483" s="28"/>
    </row>
    <row r="484" spans="3:28">
      <c r="C484" s="103"/>
      <c r="F484" s="103"/>
      <c r="G484" s="28"/>
      <c r="J484" s="28"/>
      <c r="L484" s="28"/>
      <c r="M484" s="28"/>
      <c r="Q484" s="28"/>
      <c r="R484" s="28"/>
      <c r="W484" s="28"/>
      <c r="X484" s="28"/>
      <c r="Y484" s="28"/>
      <c r="AA484" s="28"/>
      <c r="AB484" s="28"/>
    </row>
    <row r="485" spans="3:28">
      <c r="C485" s="103"/>
      <c r="F485" s="103"/>
      <c r="G485" s="28"/>
      <c r="J485" s="28"/>
      <c r="L485" s="28"/>
      <c r="M485" s="28"/>
      <c r="Q485" s="28"/>
      <c r="R485" s="28"/>
      <c r="W485" s="28"/>
      <c r="X485" s="28"/>
      <c r="Y485" s="28"/>
      <c r="AA485" s="28"/>
      <c r="AB485" s="28"/>
    </row>
    <row r="486" spans="3:28">
      <c r="C486" s="103"/>
      <c r="F486" s="103"/>
      <c r="G486" s="28"/>
      <c r="J486" s="28"/>
      <c r="L486" s="28"/>
      <c r="M486" s="28"/>
      <c r="Q486" s="28"/>
      <c r="R486" s="28"/>
      <c r="W486" s="28"/>
      <c r="X486" s="28"/>
      <c r="Y486" s="28"/>
      <c r="AA486" s="28"/>
      <c r="AB486" s="28"/>
    </row>
    <row r="487" spans="3:28">
      <c r="C487" s="103"/>
      <c r="F487" s="103"/>
      <c r="G487" s="28"/>
      <c r="J487" s="28"/>
      <c r="L487" s="28"/>
      <c r="M487" s="28"/>
      <c r="Q487" s="28"/>
      <c r="R487" s="28"/>
      <c r="W487" s="28"/>
      <c r="X487" s="28"/>
      <c r="Y487" s="28"/>
      <c r="AA487" s="28"/>
      <c r="AB487" s="28"/>
    </row>
    <row r="488" spans="3:28">
      <c r="C488" s="103"/>
      <c r="F488" s="103"/>
      <c r="G488" s="28"/>
      <c r="J488" s="28"/>
      <c r="L488" s="28"/>
      <c r="M488" s="28"/>
      <c r="Q488" s="28"/>
      <c r="R488" s="28"/>
      <c r="W488" s="28"/>
      <c r="X488" s="28"/>
      <c r="Y488" s="28"/>
      <c r="AA488" s="28"/>
      <c r="AB488" s="28"/>
    </row>
    <row r="489" spans="3:28">
      <c r="C489" s="103"/>
      <c r="F489" s="103"/>
      <c r="G489" s="28"/>
      <c r="J489" s="28"/>
      <c r="L489" s="28"/>
      <c r="M489" s="28"/>
      <c r="Q489" s="28"/>
      <c r="R489" s="28"/>
      <c r="W489" s="28"/>
      <c r="X489" s="28"/>
      <c r="Y489" s="28"/>
      <c r="AA489" s="28"/>
      <c r="AB489" s="28"/>
    </row>
    <row r="490" spans="3:28">
      <c r="C490" s="103"/>
      <c r="F490" s="103"/>
      <c r="G490" s="28"/>
      <c r="J490" s="28"/>
      <c r="L490" s="28"/>
      <c r="M490" s="28"/>
      <c r="Q490" s="28"/>
      <c r="R490" s="28"/>
      <c r="W490" s="28"/>
      <c r="X490" s="28"/>
      <c r="Y490" s="28"/>
      <c r="AA490" s="28"/>
      <c r="AB490" s="28"/>
    </row>
    <row r="491" spans="3:28">
      <c r="C491" s="103"/>
      <c r="F491" s="103"/>
      <c r="G491" s="28"/>
      <c r="J491" s="28"/>
      <c r="L491" s="28"/>
      <c r="M491" s="28"/>
      <c r="Q491" s="28"/>
      <c r="R491" s="28"/>
      <c r="W491" s="28"/>
      <c r="X491" s="28"/>
      <c r="Y491" s="28"/>
      <c r="AA491" s="28"/>
      <c r="AB491" s="28"/>
    </row>
    <row r="492" spans="3:28">
      <c r="C492" s="103"/>
      <c r="F492" s="103"/>
      <c r="G492" s="28"/>
      <c r="J492" s="28"/>
      <c r="L492" s="28"/>
      <c r="M492" s="28"/>
      <c r="Q492" s="28"/>
      <c r="R492" s="28"/>
      <c r="W492" s="28"/>
      <c r="X492" s="28"/>
      <c r="Y492" s="28"/>
      <c r="AA492" s="28"/>
      <c r="AB492" s="28"/>
    </row>
    <row r="493" spans="3:28">
      <c r="C493" s="103"/>
      <c r="F493" s="103"/>
      <c r="G493" s="28"/>
      <c r="J493" s="28"/>
      <c r="L493" s="28"/>
      <c r="M493" s="28"/>
      <c r="Q493" s="28"/>
      <c r="R493" s="28"/>
      <c r="W493" s="28"/>
      <c r="X493" s="28"/>
      <c r="Y493" s="28"/>
      <c r="AA493" s="28"/>
      <c r="AB493" s="28"/>
    </row>
    <row r="494" spans="3:28">
      <c r="C494" s="103"/>
      <c r="F494" s="103"/>
      <c r="G494" s="28"/>
      <c r="J494" s="28"/>
      <c r="L494" s="28"/>
      <c r="M494" s="28"/>
      <c r="Q494" s="28"/>
      <c r="R494" s="28"/>
      <c r="W494" s="28"/>
      <c r="X494" s="28"/>
      <c r="Y494" s="28"/>
      <c r="AA494" s="28"/>
      <c r="AB494" s="28"/>
    </row>
    <row r="495" spans="3:28">
      <c r="C495" s="103"/>
      <c r="F495" s="103"/>
      <c r="G495" s="28"/>
      <c r="J495" s="28"/>
      <c r="L495" s="28"/>
      <c r="M495" s="28"/>
      <c r="Q495" s="28"/>
      <c r="R495" s="28"/>
      <c r="W495" s="28"/>
      <c r="X495" s="28"/>
      <c r="Y495" s="28"/>
      <c r="AA495" s="28"/>
      <c r="AB495" s="28"/>
    </row>
    <row r="496" spans="3:28">
      <c r="C496" s="103"/>
      <c r="F496" s="103"/>
      <c r="G496" s="28"/>
      <c r="J496" s="28"/>
      <c r="L496" s="28"/>
      <c r="M496" s="28"/>
      <c r="Q496" s="28"/>
      <c r="R496" s="28"/>
      <c r="W496" s="28"/>
      <c r="X496" s="28"/>
      <c r="Y496" s="28"/>
      <c r="AA496" s="28"/>
      <c r="AB496" s="28"/>
    </row>
    <row r="497" spans="3:28">
      <c r="C497" s="103"/>
      <c r="F497" s="103"/>
      <c r="G497" s="28"/>
      <c r="J497" s="28"/>
      <c r="L497" s="28"/>
      <c r="M497" s="28"/>
      <c r="Q497" s="28"/>
      <c r="R497" s="28"/>
      <c r="W497" s="28"/>
      <c r="X497" s="28"/>
      <c r="Y497" s="28"/>
      <c r="AA497" s="28"/>
      <c r="AB497" s="28"/>
    </row>
    <row r="498" spans="3:28">
      <c r="C498" s="103"/>
      <c r="F498" s="103"/>
      <c r="G498" s="28"/>
      <c r="J498" s="28"/>
      <c r="L498" s="28"/>
      <c r="M498" s="28"/>
      <c r="Q498" s="28"/>
      <c r="R498" s="28"/>
      <c r="W498" s="28"/>
      <c r="X498" s="28"/>
      <c r="Y498" s="28"/>
      <c r="AA498" s="28"/>
      <c r="AB498" s="28"/>
    </row>
    <row r="499" spans="3:28">
      <c r="C499" s="103"/>
      <c r="F499" s="103"/>
      <c r="G499" s="28"/>
      <c r="J499" s="28"/>
      <c r="L499" s="28"/>
      <c r="M499" s="28"/>
      <c r="Q499" s="28"/>
      <c r="R499" s="28"/>
      <c r="W499" s="28"/>
      <c r="X499" s="28"/>
      <c r="Y499" s="28"/>
      <c r="AA499" s="28"/>
      <c r="AB499" s="28"/>
    </row>
    <row r="500" spans="3:28">
      <c r="C500" s="103"/>
      <c r="F500" s="103"/>
      <c r="G500" s="28"/>
      <c r="J500" s="28"/>
      <c r="L500" s="28"/>
      <c r="M500" s="28"/>
      <c r="Q500" s="28"/>
      <c r="R500" s="28"/>
      <c r="W500" s="28"/>
      <c r="X500" s="28"/>
      <c r="Y500" s="28"/>
      <c r="AA500" s="28"/>
      <c r="AB500" s="28"/>
    </row>
    <row r="501" spans="3:28">
      <c r="C501" s="103"/>
      <c r="F501" s="103"/>
      <c r="G501" s="28"/>
      <c r="J501" s="28"/>
      <c r="L501" s="28"/>
      <c r="M501" s="28"/>
      <c r="Q501" s="28"/>
      <c r="R501" s="28"/>
      <c r="W501" s="28"/>
      <c r="X501" s="28"/>
      <c r="Y501" s="28"/>
      <c r="AA501" s="28"/>
      <c r="AB501" s="28"/>
    </row>
    <row r="502" spans="3:28">
      <c r="C502" s="103"/>
      <c r="F502" s="103"/>
      <c r="G502" s="28"/>
      <c r="J502" s="28"/>
      <c r="L502" s="28"/>
      <c r="M502" s="28"/>
      <c r="Q502" s="28"/>
      <c r="R502" s="28"/>
      <c r="W502" s="28"/>
      <c r="X502" s="28"/>
      <c r="Y502" s="28"/>
      <c r="AA502" s="28"/>
      <c r="AB502" s="28"/>
    </row>
    <row r="503" spans="3:28">
      <c r="C503" s="103"/>
      <c r="F503" s="103"/>
      <c r="G503" s="28"/>
      <c r="J503" s="28"/>
      <c r="L503" s="28"/>
      <c r="M503" s="28"/>
      <c r="Q503" s="28"/>
      <c r="R503" s="28"/>
      <c r="W503" s="28"/>
      <c r="X503" s="28"/>
      <c r="Y503" s="28"/>
      <c r="AA503" s="28"/>
      <c r="AB503" s="28"/>
    </row>
    <row r="504" spans="3:28">
      <c r="C504" s="103"/>
      <c r="F504" s="103"/>
      <c r="G504" s="28"/>
      <c r="J504" s="28"/>
      <c r="L504" s="28"/>
      <c r="M504" s="28"/>
      <c r="Q504" s="28"/>
      <c r="R504" s="28"/>
      <c r="W504" s="28"/>
      <c r="X504" s="28"/>
      <c r="Y504" s="28"/>
      <c r="AA504" s="28"/>
      <c r="AB504" s="28"/>
    </row>
    <row r="505" spans="3:28">
      <c r="C505" s="103"/>
      <c r="F505" s="103"/>
      <c r="G505" s="28"/>
      <c r="J505" s="28"/>
      <c r="L505" s="28"/>
      <c r="M505" s="28"/>
      <c r="Q505" s="28"/>
      <c r="R505" s="28"/>
      <c r="W505" s="28"/>
      <c r="X505" s="28"/>
      <c r="Y505" s="28"/>
      <c r="AA505" s="28"/>
      <c r="AB505" s="28"/>
    </row>
    <row r="506" spans="3:28">
      <c r="C506" s="103"/>
      <c r="F506" s="103"/>
      <c r="G506" s="28"/>
      <c r="J506" s="28"/>
      <c r="L506" s="28"/>
      <c r="M506" s="28"/>
      <c r="Q506" s="28"/>
      <c r="R506" s="28"/>
      <c r="W506" s="28"/>
      <c r="X506" s="28"/>
      <c r="Y506" s="28"/>
      <c r="AA506" s="28"/>
      <c r="AB506" s="28"/>
    </row>
    <row r="507" spans="3:28">
      <c r="C507" s="103"/>
      <c r="F507" s="103"/>
      <c r="G507" s="28"/>
      <c r="J507" s="28"/>
      <c r="L507" s="28"/>
      <c r="M507" s="28"/>
      <c r="Q507" s="28"/>
      <c r="R507" s="28"/>
      <c r="W507" s="28"/>
      <c r="X507" s="28"/>
      <c r="Y507" s="28"/>
      <c r="AA507" s="28"/>
      <c r="AB507" s="28"/>
    </row>
    <row r="508" spans="3:28">
      <c r="C508" s="103"/>
      <c r="F508" s="103"/>
      <c r="G508" s="28"/>
      <c r="J508" s="28"/>
      <c r="L508" s="28"/>
      <c r="M508" s="28"/>
      <c r="Q508" s="28"/>
      <c r="R508" s="28"/>
      <c r="W508" s="28"/>
      <c r="X508" s="28"/>
      <c r="Y508" s="28"/>
      <c r="AA508" s="28"/>
      <c r="AB508" s="28"/>
    </row>
    <row r="509" spans="3:28">
      <c r="C509" s="103"/>
      <c r="F509" s="103"/>
      <c r="G509" s="28"/>
      <c r="J509" s="28"/>
      <c r="L509" s="28"/>
      <c r="M509" s="28"/>
      <c r="Q509" s="28"/>
      <c r="R509" s="28"/>
      <c r="W509" s="28"/>
      <c r="X509" s="28"/>
      <c r="Y509" s="28"/>
      <c r="AA509" s="28"/>
      <c r="AB509" s="28"/>
    </row>
    <row r="510" spans="3:28">
      <c r="C510" s="103"/>
      <c r="F510" s="103"/>
      <c r="G510" s="28"/>
      <c r="J510" s="28"/>
      <c r="L510" s="28"/>
      <c r="M510" s="28"/>
      <c r="Q510" s="28"/>
      <c r="R510" s="28"/>
      <c r="W510" s="28"/>
      <c r="X510" s="28"/>
      <c r="Y510" s="28"/>
      <c r="AA510" s="28"/>
      <c r="AB510" s="28"/>
    </row>
    <row r="511" spans="3:28">
      <c r="C511" s="103"/>
      <c r="F511" s="103"/>
      <c r="G511" s="28"/>
      <c r="J511" s="28"/>
      <c r="L511" s="28"/>
      <c r="M511" s="28"/>
      <c r="Q511" s="28"/>
      <c r="R511" s="28"/>
      <c r="W511" s="28"/>
      <c r="X511" s="28"/>
      <c r="Y511" s="28"/>
      <c r="AA511" s="28"/>
      <c r="AB511" s="28"/>
    </row>
    <row r="512" spans="3:28">
      <c r="C512" s="103"/>
      <c r="F512" s="103"/>
      <c r="G512" s="28"/>
      <c r="J512" s="28"/>
      <c r="L512" s="28"/>
      <c r="M512" s="28"/>
      <c r="Q512" s="28"/>
      <c r="R512" s="28"/>
      <c r="W512" s="28"/>
      <c r="X512" s="28"/>
      <c r="Y512" s="28"/>
      <c r="AA512" s="28"/>
      <c r="AB512" s="28"/>
    </row>
    <row r="513" spans="3:28">
      <c r="C513" s="103"/>
      <c r="F513" s="103"/>
      <c r="G513" s="28"/>
      <c r="J513" s="28"/>
      <c r="L513" s="28"/>
      <c r="M513" s="28"/>
      <c r="Q513" s="28"/>
      <c r="R513" s="28"/>
      <c r="W513" s="28"/>
      <c r="X513" s="28"/>
      <c r="Y513" s="28"/>
      <c r="AA513" s="28"/>
      <c r="AB513" s="28"/>
    </row>
    <row r="514" spans="3:28">
      <c r="C514" s="103"/>
      <c r="F514" s="103"/>
      <c r="G514" s="28"/>
      <c r="J514" s="28"/>
      <c r="L514" s="28"/>
      <c r="M514" s="28"/>
      <c r="Q514" s="28"/>
      <c r="R514" s="28"/>
      <c r="W514" s="28"/>
      <c r="X514" s="28"/>
      <c r="Y514" s="28"/>
      <c r="AA514" s="28"/>
      <c r="AB514" s="28"/>
    </row>
    <row r="515" spans="3:28">
      <c r="C515" s="103"/>
      <c r="F515" s="103"/>
      <c r="G515" s="28"/>
      <c r="J515" s="28"/>
      <c r="L515" s="28"/>
      <c r="M515" s="28"/>
      <c r="Q515" s="28"/>
      <c r="R515" s="28"/>
      <c r="W515" s="28"/>
      <c r="X515" s="28"/>
      <c r="Y515" s="28"/>
      <c r="AA515" s="28"/>
      <c r="AB515" s="28"/>
    </row>
    <row r="516" spans="3:28">
      <c r="C516" s="103"/>
      <c r="F516" s="103"/>
      <c r="G516" s="28"/>
      <c r="J516" s="28"/>
      <c r="L516" s="28"/>
      <c r="M516" s="28"/>
      <c r="Q516" s="28"/>
      <c r="R516" s="28"/>
      <c r="W516" s="28"/>
      <c r="X516" s="28"/>
      <c r="Y516" s="28"/>
      <c r="AA516" s="28"/>
      <c r="AB516" s="28"/>
    </row>
    <row r="517" spans="3:28">
      <c r="C517" s="103"/>
      <c r="F517" s="103"/>
      <c r="G517" s="28"/>
      <c r="J517" s="28"/>
      <c r="L517" s="28"/>
      <c r="M517" s="28"/>
      <c r="Q517" s="28"/>
      <c r="R517" s="28"/>
      <c r="W517" s="28"/>
      <c r="X517" s="28"/>
      <c r="Y517" s="28"/>
      <c r="AA517" s="28"/>
      <c r="AB517" s="28"/>
    </row>
    <row r="518" spans="3:28">
      <c r="C518" s="103"/>
      <c r="F518" s="103"/>
      <c r="G518" s="28"/>
      <c r="J518" s="28"/>
      <c r="L518" s="28"/>
      <c r="M518" s="28"/>
      <c r="Q518" s="28"/>
      <c r="R518" s="28"/>
      <c r="W518" s="28"/>
      <c r="X518" s="28"/>
      <c r="Y518" s="28"/>
      <c r="AA518" s="28"/>
      <c r="AB518" s="28"/>
    </row>
    <row r="519" spans="3:28">
      <c r="C519" s="103"/>
      <c r="F519" s="103"/>
      <c r="G519" s="28"/>
      <c r="J519" s="28"/>
      <c r="L519" s="28"/>
      <c r="M519" s="28"/>
      <c r="Q519" s="28"/>
      <c r="R519" s="28"/>
      <c r="W519" s="28"/>
      <c r="X519" s="28"/>
      <c r="Y519" s="28"/>
      <c r="AA519" s="28"/>
      <c r="AB519" s="28"/>
    </row>
    <row r="520" spans="3:28">
      <c r="C520" s="103"/>
      <c r="F520" s="103"/>
      <c r="G520" s="28"/>
      <c r="J520" s="28"/>
      <c r="L520" s="28"/>
      <c r="M520" s="28"/>
      <c r="Q520" s="28"/>
      <c r="R520" s="28"/>
      <c r="W520" s="28"/>
      <c r="X520" s="28"/>
      <c r="Y520" s="28"/>
      <c r="AA520" s="28"/>
      <c r="AB520" s="28"/>
    </row>
    <row r="521" spans="3:28">
      <c r="C521" s="103"/>
      <c r="F521" s="103"/>
      <c r="G521" s="28"/>
      <c r="J521" s="28"/>
      <c r="L521" s="28"/>
      <c r="M521" s="28"/>
      <c r="Q521" s="28"/>
      <c r="R521" s="28"/>
      <c r="W521" s="28"/>
      <c r="X521" s="28"/>
      <c r="Y521" s="28"/>
      <c r="AA521" s="28"/>
      <c r="AB521" s="28"/>
    </row>
    <row r="522" spans="3:28">
      <c r="C522" s="103"/>
      <c r="F522" s="103"/>
      <c r="G522" s="28"/>
      <c r="J522" s="28"/>
      <c r="L522" s="28"/>
      <c r="M522" s="28"/>
      <c r="Q522" s="28"/>
      <c r="R522" s="28"/>
      <c r="W522" s="28"/>
      <c r="X522" s="28"/>
      <c r="Y522" s="28"/>
      <c r="AA522" s="28"/>
      <c r="AB522" s="28"/>
    </row>
    <row r="523" spans="3:28">
      <c r="C523" s="103"/>
      <c r="F523" s="103"/>
      <c r="G523" s="28"/>
      <c r="J523" s="28"/>
      <c r="L523" s="28"/>
      <c r="M523" s="28"/>
      <c r="Q523" s="28"/>
      <c r="R523" s="28"/>
      <c r="W523" s="28"/>
      <c r="X523" s="28"/>
      <c r="Y523" s="28"/>
      <c r="AA523" s="28"/>
      <c r="AB523" s="28"/>
    </row>
    <row r="524" spans="3:28">
      <c r="C524" s="103"/>
      <c r="F524" s="103"/>
      <c r="G524" s="28"/>
      <c r="J524" s="28"/>
      <c r="L524" s="28"/>
      <c r="M524" s="28"/>
      <c r="Q524" s="28"/>
      <c r="R524" s="28"/>
      <c r="W524" s="28"/>
      <c r="X524" s="28"/>
      <c r="Y524" s="28"/>
      <c r="AA524" s="28"/>
      <c r="AB524" s="28"/>
    </row>
    <row r="525" spans="3:28">
      <c r="C525" s="103"/>
      <c r="F525" s="103"/>
      <c r="G525" s="28"/>
      <c r="J525" s="28"/>
      <c r="L525" s="28"/>
      <c r="M525" s="28"/>
      <c r="Q525" s="28"/>
      <c r="R525" s="28"/>
      <c r="W525" s="28"/>
      <c r="X525" s="28"/>
      <c r="Y525" s="28"/>
      <c r="AA525" s="28"/>
      <c r="AB525" s="28"/>
    </row>
    <row r="526" spans="3:28">
      <c r="C526" s="103"/>
      <c r="F526" s="103"/>
      <c r="G526" s="28"/>
      <c r="J526" s="28"/>
      <c r="L526" s="28"/>
      <c r="M526" s="28"/>
      <c r="Q526" s="28"/>
      <c r="R526" s="28"/>
      <c r="W526" s="28"/>
      <c r="X526" s="28"/>
      <c r="Y526" s="28"/>
      <c r="AA526" s="28"/>
      <c r="AB526" s="28"/>
    </row>
    <row r="527" spans="3:28">
      <c r="C527" s="103"/>
      <c r="F527" s="103"/>
      <c r="G527" s="28"/>
      <c r="J527" s="28"/>
      <c r="L527" s="28"/>
      <c r="M527" s="28"/>
      <c r="Q527" s="28"/>
      <c r="R527" s="28"/>
      <c r="W527" s="28"/>
      <c r="X527" s="28"/>
      <c r="Y527" s="28"/>
      <c r="AA527" s="28"/>
      <c r="AB527" s="28"/>
    </row>
    <row r="528" spans="3:28">
      <c r="C528" s="103"/>
      <c r="F528" s="103"/>
      <c r="G528" s="28"/>
      <c r="J528" s="28"/>
      <c r="L528" s="28"/>
      <c r="M528" s="28"/>
      <c r="Q528" s="28"/>
      <c r="R528" s="28"/>
      <c r="W528" s="28"/>
      <c r="X528" s="28"/>
      <c r="Y528" s="28"/>
      <c r="AA528" s="28"/>
      <c r="AB528" s="28"/>
    </row>
  </sheetData>
  <sheetProtection formatCells="0"/>
  <autoFilter ref="A1:AF417" xr:uid="{00000000-0001-0000-0000-000000000000}"/>
  <dataValidations count="1">
    <dataValidation allowBlank="1" showInputMessage="1" showErrorMessage="1" sqref="S1:V16 T17:V17 A1:L28 AD1:AD74 C29:L78 A29:A78 B75:B78 Z1:Z79 AD76:AD79 S18:V79 AC1:AC79 A79:L79 L80 J80 AE1:AF79 AD82:AD95 A81:B81 AG1:XFD81 D81:L81 AD98:AD110 AF80:AF81 C160:L160 AC81:AE81 A160 AD164 AD122:AD162 S81:V118 AD112:AD120 U119:U164 V119:V168 S119:T168 U166:U168 A255:G255 O1 AD167:AD171 N1:N79 P1:P79 P81:P95 AD175:AD181 Z188 AC192:AF192 AE82:XFD184 S169:V186 Z81:Z186 AD183:AD184 P97:P186 AC185:AD186 N81:N186 AC82:AC184 AE185:AF191 A161:L186 H193:H194 A188:L192 H198:H207 AD188:AD210 H209:H211 H213:H214 A192:G217 H217 AD212:AD217 AG185:XFD217 AC188:AC215 I192:L217 A218:L219 I220:L221 S188:S220 F222:L224 B223:E224 T188:V225 S222:S225 I225:L225 AE193:AF217 P188:P233 B225:G225 B220:G221 B226:L236 S226:V236 B237:G237 I237:L237 T237:V237 I245:L245 B245:G245 B238:L244 A220:A245 AC217:AC253 A246:L254 A82:L159 I255:L255 S238:V303 T304:V304 E306:E307 A256:L304 A307:G307 A308:L310 F305:L307 AD310 A311:G312 A305:A306 I311:L312 AE310:AF311 AC311:AD311 B305:D307 AD314:AF314 AC313:AF313 A317:G317 AD312:AF312 I317:L317 A313:L316 AC315:AF319 AC321:AC322 U305:U322 A327:G327 I327:L327 D328:L329 U324:U327 V305:V327 S305:T327 A330:G330 AD320:AF323 A328:B329 A318:L326 I330:L330 AG310:XFD334 AD335:XFD335 AC324:AF334 A345:D345 S328:V342 S343:U343 AD348:AF348 F345:L345 A331:L344 AC336:AF345 A347:G347 AC347:AF347 A346:L346 I347:L347 AC304:AC308 AD346:AF346 U344:U349 V344:V353 S344:T353 U352:U353 P236:P353 N188:N353 Z190:Z353 B348:L353 B358:L358 A348:A358 AD426:AD1048576 G359:L369 AD370 N358:N369 S358:V369 J370:J371 H370:H371 S370:T371 AD371:AF371 N370:O371 AC349:AC370 AE349:AF370 AD349:AD368 A359:F378 G372:L378 AC372:AF378 AG336:XFD378 T403:V403 AC403:AD403 AD379:AD402 S372:V402 O404:O405 A379:A411 J422:L427 A428:L1048576 I417:L418 A415:L416 AD404:AD408 AC404:AC411 AD410:AD412 AD218:XFD309 A418:A419 B379:L414 A424:A427 B417:H420 AC421:AC1048576 AD421:AD424 P358:P1048576 B421:L421 S404:V1048576 N372:N1048576 O408:O1048576 J419:L420 Z358:Z1048576 AC413:AC419 AD414:AD419 AE379:XFD1048576 B422:F427 H422:H427 G423:G427" xr:uid="{FBE945DB-DDCB-4DA0-874F-2C6AC992B85B}"/>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6">
        <x14:dataValidation type="list" allowBlank="1" showInputMessage="1" showErrorMessage="1" xr:uid="{99126B7D-83DB-4561-B60C-BDE74BD1A51A}">
          <x14:formula1>
            <xm:f>'DON''T DELETE'!$A$4:$A$5</xm:f>
          </x14:formula1>
          <xm:sqref>Q1:Q79 Q81:Q186 Q188:Q353 Q358:Q359 K370:K371 Q362:Q1048576</xm:sqref>
        </x14:dataValidation>
        <x14:dataValidation type="list" allowBlank="1" showInputMessage="1" showErrorMessage="1" xr:uid="{92815BE7-E34B-4A53-BB6A-54A9B8C4D5F1}">
          <x14:formula1>
            <xm:f>'DON''T DELETE'!$A$7:$A$8</xm:f>
          </x14:formula1>
          <xm:sqref>R1:R79 R81:R186 R188:R353 R358:R359 L370:L371 R362:R1048576</xm:sqref>
        </x14:dataValidation>
        <x14:dataValidation type="list" allowBlank="1" showInputMessage="1" showErrorMessage="1" xr:uid="{3A77CC38-CCD6-4E95-8B70-6CF044BFB801}">
          <x14:formula1>
            <xm:f>'DON''T DELETE'!$A$10:$A$11</xm:f>
          </x14:formula1>
          <xm:sqref>W1:W79 W81:W186 W188:W353 W358:W359 W362:W1048576</xm:sqref>
        </x14:dataValidation>
        <x14:dataValidation type="list" allowBlank="1" showInputMessage="1" showErrorMessage="1" xr:uid="{0B39CA68-4732-4EBB-9B29-3D840089A284}">
          <x14:formula1>
            <xm:f>'DON''T DELETE'!$A$13:$A$14</xm:f>
          </x14:formula1>
          <xm:sqref>AA1:AB79 X1:Y79 AB80 X81:Y186 AA81:AB186 AA188:AB353 X188:Y353 AA358:AB359 X358:Y359 AG370:AH371 X362:Y1048576 AA362:AB1048576</xm:sqref>
        </x14:dataValidation>
        <x14:dataValidation type="list" allowBlank="1" showInputMessage="1" showErrorMessage="1" xr:uid="{461120A3-BD3F-4852-BFB3-FC150D54FE1B}">
          <x14:formula1>
            <xm:f>'DON''T DELETE'!$A$26:$A$27</xm:f>
          </x14:formula1>
          <xm:sqref>M1:M79 M81:M186 M188:M353 M358:M359 G370:G371 M362:M1048576</xm:sqref>
        </x14:dataValidation>
        <x14:dataValidation type="list" allowBlank="1" showInputMessage="1" showErrorMessage="1" xr:uid="{7CC6F11E-D4D9-402B-B2B7-EB70AA946386}">
          <x14:formula1>
            <xm:f>'DON''T DELETE'!$A$29:$A$44</xm:f>
          </x14:formula1>
          <xm:sqref>O2:O186 O188:O353 O358:O359 O362:O369 I370:I371 O372:O403 O406:O407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C8028-2E14-4E9B-A19B-8D9B8555B2DC}">
  <sheetPr codeName="Sheet2"/>
  <dimension ref="A1:E32"/>
  <sheetViews>
    <sheetView topLeftCell="B14" workbookViewId="0">
      <selection activeCell="E25" sqref="E25"/>
    </sheetView>
  </sheetViews>
  <sheetFormatPr defaultColWidth="8.7109375" defaultRowHeight="14.45"/>
  <cols>
    <col min="1" max="1" width="9.7109375" customWidth="1"/>
    <col min="2" max="2" width="38" customWidth="1"/>
    <col min="3" max="3" width="13.42578125" customWidth="1"/>
    <col min="4" max="4" width="73.42578125" customWidth="1"/>
    <col min="5" max="5" width="71.42578125" style="7" customWidth="1"/>
  </cols>
  <sheetData>
    <row r="1" spans="1:5">
      <c r="A1" s="308" t="s">
        <v>1273</v>
      </c>
      <c r="B1" s="308"/>
      <c r="C1" s="29"/>
      <c r="D1" s="6" t="s">
        <v>1274</v>
      </c>
      <c r="E1" s="8" t="s">
        <v>1275</v>
      </c>
    </row>
    <row r="2" spans="1:5" ht="75.75" customHeight="1">
      <c r="A2" s="30"/>
      <c r="B2" s="5" t="s">
        <v>1276</v>
      </c>
      <c r="D2" s="12" t="s">
        <v>0</v>
      </c>
      <c r="E2" s="9" t="s">
        <v>1277</v>
      </c>
    </row>
    <row r="3" spans="1:5" ht="54" customHeight="1">
      <c r="A3" s="44"/>
      <c r="B3" s="5" t="s">
        <v>1278</v>
      </c>
      <c r="C3" s="28"/>
      <c r="D3" s="47" t="s">
        <v>1</v>
      </c>
      <c r="E3" s="9" t="s">
        <v>1279</v>
      </c>
    </row>
    <row r="4" spans="1:5" ht="99.75" customHeight="1">
      <c r="A4" s="31"/>
      <c r="B4" s="5" t="s">
        <v>1280</v>
      </c>
      <c r="D4" s="47" t="s">
        <v>2</v>
      </c>
      <c r="E4" s="194" t="s">
        <v>1281</v>
      </c>
    </row>
    <row r="5" spans="1:5" ht="48.75" customHeight="1">
      <c r="A5" s="40"/>
      <c r="B5" s="9" t="s">
        <v>1282</v>
      </c>
      <c r="D5" s="11" t="s">
        <v>3</v>
      </c>
      <c r="E5" s="9" t="s">
        <v>1283</v>
      </c>
    </row>
    <row r="6" spans="1:5" ht="29.1">
      <c r="A6" s="45"/>
      <c r="B6" s="9" t="s">
        <v>1284</v>
      </c>
      <c r="D6" s="11" t="s">
        <v>4</v>
      </c>
      <c r="E6" s="9" t="s">
        <v>1285</v>
      </c>
    </row>
    <row r="7" spans="1:5">
      <c r="D7" s="10" t="s">
        <v>5</v>
      </c>
      <c r="E7" s="9" t="s">
        <v>1286</v>
      </c>
    </row>
    <row r="8" spans="1:5" ht="30.75" customHeight="1">
      <c r="D8" s="10" t="s">
        <v>6</v>
      </c>
      <c r="E8" s="9" t="s">
        <v>1287</v>
      </c>
    </row>
    <row r="9" spans="1:5" ht="91.5" customHeight="1">
      <c r="D9" s="11" t="s">
        <v>7</v>
      </c>
      <c r="E9" s="9" t="s">
        <v>1288</v>
      </c>
    </row>
    <row r="10" spans="1:5">
      <c r="D10" s="11" t="s">
        <v>8</v>
      </c>
      <c r="E10" s="9" t="s">
        <v>1289</v>
      </c>
    </row>
    <row r="11" spans="1:5" ht="29.1">
      <c r="D11" s="11" t="s">
        <v>9</v>
      </c>
      <c r="E11" s="9" t="s">
        <v>1290</v>
      </c>
    </row>
    <row r="12" spans="1:5">
      <c r="A12" t="s">
        <v>42</v>
      </c>
      <c r="D12" s="62" t="s">
        <v>10</v>
      </c>
      <c r="E12" s="48" t="s">
        <v>1291</v>
      </c>
    </row>
    <row r="13" spans="1:5">
      <c r="D13" s="62" t="s">
        <v>11</v>
      </c>
      <c r="E13" s="63" t="s">
        <v>1292</v>
      </c>
    </row>
    <row r="14" spans="1:5">
      <c r="D14" s="11" t="s">
        <v>12</v>
      </c>
      <c r="E14" s="9" t="s">
        <v>1293</v>
      </c>
    </row>
    <row r="15" spans="1:5">
      <c r="D15" s="64" t="s">
        <v>13</v>
      </c>
      <c r="E15" s="9" t="s">
        <v>1294</v>
      </c>
    </row>
    <row r="16" spans="1:5">
      <c r="D16" s="11" t="s">
        <v>14</v>
      </c>
      <c r="E16" s="9" t="s">
        <v>1295</v>
      </c>
    </row>
    <row r="17" spans="4:5">
      <c r="D17" s="64" t="s">
        <v>15</v>
      </c>
      <c r="E17" s="9" t="s">
        <v>1296</v>
      </c>
    </row>
    <row r="18" spans="4:5" ht="43.5">
      <c r="D18" s="11" t="s">
        <v>16</v>
      </c>
      <c r="E18" s="9" t="s">
        <v>1297</v>
      </c>
    </row>
    <row r="19" spans="4:5" ht="29.1">
      <c r="D19" s="11" t="s">
        <v>17</v>
      </c>
      <c r="E19" s="9" t="s">
        <v>1298</v>
      </c>
    </row>
    <row r="20" spans="4:5">
      <c r="D20" s="11" t="s">
        <v>18</v>
      </c>
      <c r="E20" s="9" t="s">
        <v>1299</v>
      </c>
    </row>
    <row r="21" spans="4:5" ht="29.1">
      <c r="D21" s="10" t="s">
        <v>19</v>
      </c>
      <c r="E21" s="9" t="s">
        <v>1300</v>
      </c>
    </row>
    <row r="22" spans="4:5" ht="29.1">
      <c r="D22" s="10" t="s">
        <v>20</v>
      </c>
      <c r="E22" s="9" t="s">
        <v>1301</v>
      </c>
    </row>
    <row r="23" spans="4:5">
      <c r="D23" s="11" t="s">
        <v>21</v>
      </c>
      <c r="E23" s="9" t="s">
        <v>1302</v>
      </c>
    </row>
    <row r="24" spans="4:5" ht="30.75" customHeight="1">
      <c r="D24" s="10" t="s">
        <v>22</v>
      </c>
      <c r="E24" s="9" t="s">
        <v>1303</v>
      </c>
    </row>
    <row r="25" spans="4:5">
      <c r="D25" s="11" t="s">
        <v>23</v>
      </c>
      <c r="E25" s="9" t="s">
        <v>1304</v>
      </c>
    </row>
    <row r="26" spans="4:5" ht="30.75" customHeight="1">
      <c r="D26" s="11" t="s">
        <v>24</v>
      </c>
      <c r="E26" s="9" t="s">
        <v>1305</v>
      </c>
    </row>
    <row r="27" spans="4:5" ht="43.5">
      <c r="D27" s="10" t="s">
        <v>25</v>
      </c>
      <c r="E27" s="9" t="s">
        <v>1306</v>
      </c>
    </row>
    <row r="28" spans="4:5" ht="29.1">
      <c r="D28" s="10" t="s">
        <v>26</v>
      </c>
      <c r="E28" s="9" t="s">
        <v>1307</v>
      </c>
    </row>
    <row r="29" spans="4:5" ht="45.75" customHeight="1">
      <c r="D29" s="10" t="s">
        <v>27</v>
      </c>
      <c r="E29" s="9" t="s">
        <v>1308</v>
      </c>
    </row>
    <row r="30" spans="4:5" ht="29.1">
      <c r="D30" s="13" t="s">
        <v>28</v>
      </c>
      <c r="E30" s="9" t="s">
        <v>1309</v>
      </c>
    </row>
    <row r="31" spans="4:5" ht="30.75" customHeight="1">
      <c r="D31" s="13" t="s">
        <v>29</v>
      </c>
      <c r="E31" s="9" t="s">
        <v>1310</v>
      </c>
    </row>
    <row r="32" spans="4:5" ht="29.1">
      <c r="D32" s="10" t="s">
        <v>1311</v>
      </c>
      <c r="E32" s="9" t="s">
        <v>1312</v>
      </c>
    </row>
  </sheetData>
  <mergeCells count="1">
    <mergeCell ref="A1:B1"/>
  </mergeCells>
  <dataValidations count="1">
    <dataValidation allowBlank="1" showInputMessage="1" showErrorMessage="1" sqref="D20:D23 D27 D30:D32 D15:D17 D2:D13 D29" xr:uid="{DF83C5FF-3E03-46F5-AD49-4C6F0BA4C393}"/>
  </dataValidation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47666B8B-C96F-487E-824F-715B329EBE49}">
          <x14:formula1>
            <xm:f>'DON''T DELETE'!$A$26:$A$27</xm:f>
          </x14:formula1>
          <xm:sqref>D14</xm:sqref>
        </x14:dataValidation>
        <x14:dataValidation type="list" allowBlank="1" showInputMessage="1" showErrorMessage="1" xr:uid="{838CF1BC-E61C-483D-8A42-7FD57CA80571}">
          <x14:formula1>
            <xm:f>'DON''T DELETE'!$A$13:$A$14</xm:f>
          </x14:formula1>
          <xm:sqref>D25:D26 D28</xm:sqref>
        </x14:dataValidation>
        <x14:dataValidation type="list" allowBlank="1" showInputMessage="1" showErrorMessage="1" xr:uid="{13F01860-02FC-41F9-8264-C021EC22431D}">
          <x14:formula1>
            <xm:f>'DON''T DELETE'!$A$10:$A$11</xm:f>
          </x14:formula1>
          <xm:sqref>D24</xm:sqref>
        </x14:dataValidation>
        <x14:dataValidation type="list" allowBlank="1" showInputMessage="1" showErrorMessage="1" xr:uid="{8423DA19-9B9B-46E2-8FAB-691B920EE7D3}">
          <x14:formula1>
            <xm:f>'DON''T DELETE'!$A$7:$A$8</xm:f>
          </x14:formula1>
          <xm:sqref>D19</xm:sqref>
        </x14:dataValidation>
        <x14:dataValidation type="list" allowBlank="1" showInputMessage="1" showErrorMessage="1" xr:uid="{CFC78982-CE94-4492-B63C-9022BE52E848}">
          <x14:formula1>
            <xm:f>'DON''T DELETE'!$A$4:$A$5</xm:f>
          </x14:formula1>
          <xm:sqref>D18</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440C2-F3F1-40ED-A968-7AB308EC0958}">
  <sheetPr codeName="Sheet3"/>
  <dimension ref="A1:G430"/>
  <sheetViews>
    <sheetView topLeftCell="A416" zoomScale="70" zoomScaleNormal="70" workbookViewId="0">
      <selection activeCell="C421" sqref="C421"/>
    </sheetView>
  </sheetViews>
  <sheetFormatPr defaultColWidth="8.7109375" defaultRowHeight="14.45"/>
  <cols>
    <col min="1" max="1" width="26.28515625" customWidth="1"/>
    <col min="2" max="2" width="14.140625" customWidth="1"/>
    <col min="3" max="3" width="39.7109375" customWidth="1"/>
    <col min="4" max="4" width="80.42578125" style="253" customWidth="1"/>
    <col min="6" max="6" width="71.42578125" customWidth="1"/>
    <col min="7" max="7" width="68.42578125" customWidth="1"/>
  </cols>
  <sheetData>
    <row r="1" spans="1:7">
      <c r="A1" s="238" t="s">
        <v>1313</v>
      </c>
      <c r="B1" s="14"/>
      <c r="C1" s="15"/>
    </row>
    <row r="2" spans="1:7">
      <c r="C2" s="16" t="s">
        <v>1314</v>
      </c>
      <c r="F2" s="16" t="s">
        <v>1315</v>
      </c>
    </row>
    <row r="3" spans="1:7">
      <c r="A3" s="17" t="s">
        <v>1316</v>
      </c>
      <c r="C3" s="18" t="s">
        <v>1317</v>
      </c>
      <c r="D3" s="254" t="s">
        <v>1318</v>
      </c>
      <c r="F3" s="18" t="s">
        <v>1317</v>
      </c>
      <c r="G3" s="17" t="s">
        <v>1318</v>
      </c>
    </row>
    <row r="4" spans="1:7" ht="144.94999999999999">
      <c r="A4" s="19" t="s">
        <v>1319</v>
      </c>
      <c r="C4" s="20" t="s">
        <v>1320</v>
      </c>
      <c r="D4" s="251" t="s">
        <v>1321</v>
      </c>
      <c r="F4" s="9" t="s">
        <v>1322</v>
      </c>
      <c r="G4" s="9" t="s">
        <v>1323</v>
      </c>
    </row>
    <row r="5" spans="1:7" ht="57.95">
      <c r="A5" s="19" t="s">
        <v>1324</v>
      </c>
      <c r="C5" s="20" t="s">
        <v>1325</v>
      </c>
      <c r="D5" s="251" t="s">
        <v>1326</v>
      </c>
    </row>
    <row r="6" spans="1:7" ht="72.599999999999994">
      <c r="A6" s="19" t="s">
        <v>1327</v>
      </c>
      <c r="C6" s="20" t="s">
        <v>1328</v>
      </c>
      <c r="D6" s="251" t="s">
        <v>1329</v>
      </c>
    </row>
    <row r="7" spans="1:7" ht="57.95">
      <c r="A7" s="19" t="s">
        <v>1330</v>
      </c>
      <c r="C7" s="20" t="s">
        <v>1331</v>
      </c>
      <c r="D7" s="251" t="s">
        <v>1332</v>
      </c>
    </row>
    <row r="8" spans="1:7" ht="43.5">
      <c r="A8" s="22" t="s">
        <v>1333</v>
      </c>
      <c r="C8" s="20" t="s">
        <v>1334</v>
      </c>
      <c r="D8" s="251" t="s">
        <v>1335</v>
      </c>
    </row>
    <row r="9" spans="1:7" ht="57.95">
      <c r="C9" s="20" t="s">
        <v>1336</v>
      </c>
      <c r="D9" s="251" t="s">
        <v>1337</v>
      </c>
    </row>
    <row r="10" spans="1:7" ht="57.95">
      <c r="C10" s="20" t="s">
        <v>1338</v>
      </c>
      <c r="D10" s="251" t="s">
        <v>1337</v>
      </c>
    </row>
    <row r="11" spans="1:7" ht="72.599999999999994">
      <c r="C11" s="20" t="s">
        <v>1339</v>
      </c>
      <c r="D11" s="251" t="s">
        <v>1340</v>
      </c>
    </row>
    <row r="12" spans="1:7" ht="87">
      <c r="C12" s="20" t="s">
        <v>1341</v>
      </c>
      <c r="D12" s="255" t="s">
        <v>1342</v>
      </c>
    </row>
    <row r="13" spans="1:7" ht="87">
      <c r="C13" s="20" t="s">
        <v>1343</v>
      </c>
      <c r="D13" s="255" t="s">
        <v>1344</v>
      </c>
    </row>
    <row r="14" spans="1:7" ht="57.95">
      <c r="C14" s="20" t="s">
        <v>1345</v>
      </c>
      <c r="D14" s="251" t="s">
        <v>1346</v>
      </c>
    </row>
    <row r="15" spans="1:7" ht="57.95">
      <c r="C15" s="20" t="s">
        <v>1347</v>
      </c>
      <c r="D15" s="251" t="s">
        <v>1348</v>
      </c>
    </row>
    <row r="16" spans="1:7" ht="43.5">
      <c r="C16" s="20" t="s">
        <v>1349</v>
      </c>
      <c r="D16" s="251" t="s">
        <v>1350</v>
      </c>
    </row>
    <row r="17" spans="3:4" ht="57.95">
      <c r="C17" s="24" t="s">
        <v>1351</v>
      </c>
      <c r="D17" s="251" t="s">
        <v>1352</v>
      </c>
    </row>
    <row r="18" spans="3:4" ht="57.95">
      <c r="C18" s="24" t="s">
        <v>1353</v>
      </c>
      <c r="D18" s="251" t="s">
        <v>1354</v>
      </c>
    </row>
    <row r="19" spans="3:4" ht="57.95">
      <c r="C19" s="24" t="s">
        <v>1355</v>
      </c>
      <c r="D19" s="251" t="s">
        <v>1356</v>
      </c>
    </row>
    <row r="20" spans="3:4" ht="57.95">
      <c r="C20" s="24" t="s">
        <v>1357</v>
      </c>
      <c r="D20" s="256" t="s">
        <v>1358</v>
      </c>
    </row>
    <row r="21" spans="3:4" ht="57.95">
      <c r="C21" s="25" t="s">
        <v>1359</v>
      </c>
      <c r="D21" s="251" t="s">
        <v>1360</v>
      </c>
    </row>
    <row r="22" spans="3:4" ht="72.599999999999994">
      <c r="C22" s="25" t="s">
        <v>1361</v>
      </c>
      <c r="D22" s="257" t="s">
        <v>1362</v>
      </c>
    </row>
    <row r="23" spans="3:4" ht="101.45">
      <c r="C23" s="24" t="s">
        <v>1363</v>
      </c>
      <c r="D23" s="258" t="s">
        <v>1364</v>
      </c>
    </row>
    <row r="24" spans="3:4" ht="57.95">
      <c r="C24" s="25" t="s">
        <v>1365</v>
      </c>
      <c r="D24" s="116" t="s">
        <v>1366</v>
      </c>
    </row>
    <row r="25" spans="3:4" ht="57.95">
      <c r="C25" s="25" t="s">
        <v>1367</v>
      </c>
      <c r="D25" s="116" t="s">
        <v>1368</v>
      </c>
    </row>
    <row r="26" spans="3:4" ht="101.45">
      <c r="C26" s="25" t="s">
        <v>1369</v>
      </c>
      <c r="D26" s="116" t="s">
        <v>1370</v>
      </c>
    </row>
    <row r="27" spans="3:4" ht="57.95">
      <c r="C27" s="25" t="s">
        <v>1371</v>
      </c>
      <c r="D27" s="116" t="s">
        <v>1372</v>
      </c>
    </row>
    <row r="28" spans="3:4" ht="57.95">
      <c r="C28" s="25" t="s">
        <v>1373</v>
      </c>
      <c r="D28" s="116" t="s">
        <v>1374</v>
      </c>
    </row>
    <row r="29" spans="3:4" ht="57.95">
      <c r="C29" s="25" t="s">
        <v>1375</v>
      </c>
      <c r="D29" s="116" t="s">
        <v>1376</v>
      </c>
    </row>
    <row r="30" spans="3:4" ht="57.95">
      <c r="C30" s="25" t="s">
        <v>1377</v>
      </c>
      <c r="D30" s="252" t="s">
        <v>1378</v>
      </c>
    </row>
    <row r="31" spans="3:4" ht="72.599999999999994">
      <c r="C31" s="25" t="s">
        <v>1379</v>
      </c>
      <c r="D31" s="259" t="s">
        <v>1380</v>
      </c>
    </row>
    <row r="32" spans="3:4" ht="72.599999999999994">
      <c r="C32" s="25" t="s">
        <v>1381</v>
      </c>
      <c r="D32" s="259" t="s">
        <v>1382</v>
      </c>
    </row>
    <row r="33" spans="3:6" ht="57.95">
      <c r="C33" s="25" t="s">
        <v>1383</v>
      </c>
      <c r="D33" s="259" t="s">
        <v>1384</v>
      </c>
    </row>
    <row r="34" spans="3:6" ht="72.599999999999994">
      <c r="C34" s="25" t="s">
        <v>1385</v>
      </c>
      <c r="D34" s="259" t="s">
        <v>1386</v>
      </c>
    </row>
    <row r="35" spans="3:6" ht="72.599999999999994">
      <c r="C35" s="25" t="s">
        <v>1387</v>
      </c>
      <c r="D35" s="259" t="s">
        <v>1388</v>
      </c>
    </row>
    <row r="36" spans="3:6" ht="72.599999999999994">
      <c r="C36" s="25" t="s">
        <v>1389</v>
      </c>
      <c r="D36" s="259" t="s">
        <v>1390</v>
      </c>
    </row>
    <row r="37" spans="3:6" ht="72.599999999999994">
      <c r="C37" s="25" t="s">
        <v>1391</v>
      </c>
      <c r="D37" s="259" t="s">
        <v>1392</v>
      </c>
    </row>
    <row r="38" spans="3:6" ht="72.599999999999994">
      <c r="C38" s="25" t="s">
        <v>1393</v>
      </c>
      <c r="D38" s="259" t="s">
        <v>1394</v>
      </c>
    </row>
    <row r="39" spans="3:6" ht="72.599999999999994">
      <c r="C39" s="25" t="s">
        <v>1395</v>
      </c>
      <c r="D39" s="259" t="s">
        <v>1396</v>
      </c>
    </row>
    <row r="40" spans="3:6" ht="72.599999999999994">
      <c r="C40" s="25" t="s">
        <v>1397</v>
      </c>
      <c r="D40" s="259" t="s">
        <v>1398</v>
      </c>
    </row>
    <row r="41" spans="3:6" ht="72.599999999999994">
      <c r="C41" s="25" t="s">
        <v>1399</v>
      </c>
      <c r="D41" s="259" t="s">
        <v>1400</v>
      </c>
      <c r="F41" s="27"/>
    </row>
    <row r="42" spans="3:6" ht="72.599999999999994">
      <c r="C42" s="25" t="s">
        <v>1401</v>
      </c>
      <c r="D42" s="259" t="s">
        <v>1402</v>
      </c>
    </row>
    <row r="43" spans="3:6" ht="72.599999999999994">
      <c r="C43" s="25" t="s">
        <v>1403</v>
      </c>
      <c r="D43" s="259" t="s">
        <v>1404</v>
      </c>
    </row>
    <row r="44" spans="3:6" ht="101.45">
      <c r="C44" s="25" t="s">
        <v>1405</v>
      </c>
      <c r="D44" s="259" t="s">
        <v>1406</v>
      </c>
    </row>
    <row r="45" spans="3:6" ht="72.599999999999994">
      <c r="C45" s="25" t="s">
        <v>1407</v>
      </c>
      <c r="D45" s="259" t="s">
        <v>1408</v>
      </c>
    </row>
    <row r="46" spans="3:6" ht="72.599999999999994">
      <c r="C46" s="25" t="s">
        <v>1409</v>
      </c>
      <c r="D46" s="259" t="s">
        <v>1410</v>
      </c>
    </row>
    <row r="47" spans="3:6" ht="72.599999999999994">
      <c r="C47" s="25" t="s">
        <v>1411</v>
      </c>
      <c r="D47" s="259" t="s">
        <v>1412</v>
      </c>
    </row>
    <row r="48" spans="3:6" ht="72.599999999999994">
      <c r="C48" s="25" t="s">
        <v>1413</v>
      </c>
      <c r="D48" s="259" t="s">
        <v>1414</v>
      </c>
    </row>
    <row r="49" spans="3:4" ht="72.599999999999994">
      <c r="C49" s="25" t="s">
        <v>1415</v>
      </c>
      <c r="D49" s="259" t="s">
        <v>1416</v>
      </c>
    </row>
    <row r="50" spans="3:4" ht="72.599999999999994">
      <c r="C50" s="25" t="s">
        <v>1417</v>
      </c>
      <c r="D50" s="259" t="s">
        <v>1418</v>
      </c>
    </row>
    <row r="51" spans="3:4" ht="72.599999999999994">
      <c r="C51" s="191" t="s">
        <v>1419</v>
      </c>
      <c r="D51" s="259" t="s">
        <v>1420</v>
      </c>
    </row>
    <row r="52" spans="3:4" ht="77.099999999999994" customHeight="1">
      <c r="C52" s="25" t="s">
        <v>1421</v>
      </c>
      <c r="D52" s="259" t="s">
        <v>1422</v>
      </c>
    </row>
    <row r="53" spans="3:4" ht="78.599999999999994" customHeight="1">
      <c r="C53" s="25" t="s">
        <v>1423</v>
      </c>
      <c r="D53" s="259" t="s">
        <v>1424</v>
      </c>
    </row>
    <row r="54" spans="3:4" ht="84.6" customHeight="1">
      <c r="C54" s="76" t="s">
        <v>1425</v>
      </c>
      <c r="D54" s="259" t="s">
        <v>1426</v>
      </c>
    </row>
    <row r="55" spans="3:4" ht="81.599999999999994" customHeight="1">
      <c r="C55" s="87" t="s">
        <v>1427</v>
      </c>
      <c r="D55" s="257" t="s">
        <v>1428</v>
      </c>
    </row>
    <row r="56" spans="3:4" ht="72" customHeight="1">
      <c r="C56" s="87" t="s">
        <v>1429</v>
      </c>
      <c r="D56" s="257" t="s">
        <v>1430</v>
      </c>
    </row>
    <row r="57" spans="3:4" ht="78" customHeight="1">
      <c r="C57" s="87" t="s">
        <v>1431</v>
      </c>
      <c r="D57" s="257" t="s">
        <v>1432</v>
      </c>
    </row>
    <row r="58" spans="3:4" ht="78.599999999999994" customHeight="1">
      <c r="C58" s="87" t="s">
        <v>1433</v>
      </c>
      <c r="D58" s="260" t="s">
        <v>1434</v>
      </c>
    </row>
    <row r="59" spans="3:4" ht="61.35" customHeight="1">
      <c r="C59" s="88" t="s">
        <v>1435</v>
      </c>
      <c r="D59" s="257" t="s">
        <v>1436</v>
      </c>
    </row>
    <row r="60" spans="3:4" ht="72.599999999999994">
      <c r="C60" s="88" t="s">
        <v>1437</v>
      </c>
      <c r="D60" s="116" t="s">
        <v>1438</v>
      </c>
    </row>
    <row r="61" spans="3:4" ht="57.95">
      <c r="C61" s="88" t="s">
        <v>1439</v>
      </c>
      <c r="D61" s="116" t="s">
        <v>1440</v>
      </c>
    </row>
    <row r="62" spans="3:4" ht="57.95">
      <c r="C62" s="89" t="s">
        <v>1441</v>
      </c>
      <c r="D62" s="261" t="s">
        <v>1442</v>
      </c>
    </row>
    <row r="63" spans="3:4" ht="72.599999999999994">
      <c r="C63" s="89" t="s">
        <v>1443</v>
      </c>
      <c r="D63" s="261" t="s">
        <v>1444</v>
      </c>
    </row>
    <row r="64" spans="3:4" ht="57.95">
      <c r="C64" s="87" t="s">
        <v>1445</v>
      </c>
      <c r="D64" s="256" t="s">
        <v>1446</v>
      </c>
    </row>
    <row r="65" spans="3:6" ht="82.5" customHeight="1">
      <c r="C65" s="88" t="s">
        <v>1447</v>
      </c>
      <c r="D65" s="116" t="s">
        <v>1448</v>
      </c>
    </row>
    <row r="66" spans="3:6" ht="72.599999999999994">
      <c r="C66" s="89" t="s">
        <v>1449</v>
      </c>
      <c r="D66" s="261" t="s">
        <v>1450</v>
      </c>
    </row>
    <row r="67" spans="3:6" ht="75" customHeight="1">
      <c r="C67" s="87" t="s">
        <v>1451</v>
      </c>
      <c r="D67" s="116" t="s">
        <v>1452</v>
      </c>
    </row>
    <row r="68" spans="3:6" ht="72.599999999999994">
      <c r="C68" s="87" t="s">
        <v>1453</v>
      </c>
      <c r="D68" s="116" t="s">
        <v>1454</v>
      </c>
    </row>
    <row r="69" spans="3:6" ht="57.95">
      <c r="C69" s="87" t="s">
        <v>1455</v>
      </c>
      <c r="D69" s="116" t="s">
        <v>1456</v>
      </c>
    </row>
    <row r="70" spans="3:6" ht="72.599999999999994">
      <c r="C70" s="95" t="s">
        <v>1457</v>
      </c>
      <c r="D70" s="123" t="s">
        <v>1458</v>
      </c>
    </row>
    <row r="71" spans="3:6" ht="72.599999999999994">
      <c r="C71" s="113" t="s">
        <v>1459</v>
      </c>
      <c r="D71" s="116" t="s">
        <v>260</v>
      </c>
      <c r="F71" s="34"/>
    </row>
    <row r="72" spans="3:6" ht="72.599999999999994">
      <c r="C72" s="113" t="s">
        <v>1460</v>
      </c>
      <c r="D72" s="262" t="s">
        <v>1461</v>
      </c>
      <c r="F72" s="34"/>
    </row>
    <row r="73" spans="3:6" ht="72.599999999999994">
      <c r="C73" s="87" t="s">
        <v>1462</v>
      </c>
      <c r="D73" s="116" t="s">
        <v>1463</v>
      </c>
    </row>
    <row r="74" spans="3:6" ht="72.599999999999994">
      <c r="C74" s="87" t="s">
        <v>1464</v>
      </c>
      <c r="D74" s="116" t="s">
        <v>1465</v>
      </c>
    </row>
    <row r="75" spans="3:6" ht="72.599999999999994">
      <c r="C75" s="87" t="s">
        <v>1466</v>
      </c>
      <c r="D75" s="116" t="s">
        <v>1467</v>
      </c>
    </row>
    <row r="76" spans="3:6" ht="72.599999999999994">
      <c r="C76" s="87" t="s">
        <v>1468</v>
      </c>
      <c r="D76" s="116" t="s">
        <v>1469</v>
      </c>
    </row>
    <row r="77" spans="3:6" ht="72.599999999999994">
      <c r="C77" s="87" t="s">
        <v>1470</v>
      </c>
      <c r="D77" s="116" t="s">
        <v>1471</v>
      </c>
    </row>
    <row r="78" spans="3:6" ht="72.599999999999994">
      <c r="C78" s="87" t="s">
        <v>1472</v>
      </c>
      <c r="D78" s="116" t="s">
        <v>1473</v>
      </c>
    </row>
    <row r="79" spans="3:6" ht="72.599999999999994">
      <c r="C79" s="87" t="s">
        <v>1474</v>
      </c>
      <c r="D79" s="116" t="s">
        <v>333</v>
      </c>
    </row>
    <row r="80" spans="3:6" ht="72.599999999999994">
      <c r="C80" s="87" t="s">
        <v>1475</v>
      </c>
      <c r="D80" s="116" t="s">
        <v>328</v>
      </c>
    </row>
    <row r="81" spans="3:4" ht="72.599999999999994">
      <c r="C81" s="87" t="s">
        <v>1476</v>
      </c>
      <c r="D81" s="116" t="s">
        <v>1477</v>
      </c>
    </row>
    <row r="82" spans="3:4" ht="72.599999999999994">
      <c r="C82" s="87" t="s">
        <v>1478</v>
      </c>
      <c r="D82" s="261" t="s">
        <v>369</v>
      </c>
    </row>
    <row r="83" spans="3:4" ht="57.95">
      <c r="C83" s="88" t="s">
        <v>1479</v>
      </c>
      <c r="D83" s="116" t="s">
        <v>1480</v>
      </c>
    </row>
    <row r="84" spans="3:4" ht="95.1" customHeight="1">
      <c r="C84" s="87" t="s">
        <v>1481</v>
      </c>
      <c r="D84" s="252" t="s">
        <v>1482</v>
      </c>
    </row>
    <row r="85" spans="3:4" ht="127.35" customHeight="1">
      <c r="C85" s="87" t="s">
        <v>1483</v>
      </c>
      <c r="D85" s="116" t="s">
        <v>1484</v>
      </c>
    </row>
    <row r="86" spans="3:4" ht="96.6" customHeight="1">
      <c r="C86" s="87" t="s">
        <v>1485</v>
      </c>
      <c r="D86" s="116" t="s">
        <v>1486</v>
      </c>
    </row>
    <row r="87" spans="3:4" ht="129" customHeight="1">
      <c r="C87" s="87" t="s">
        <v>1487</v>
      </c>
      <c r="D87" s="261" t="s">
        <v>1488</v>
      </c>
    </row>
    <row r="88" spans="3:4" ht="88.35" customHeight="1">
      <c r="C88" s="87" t="s">
        <v>1489</v>
      </c>
      <c r="D88" s="261" t="s">
        <v>1490</v>
      </c>
    </row>
    <row r="89" spans="3:4" ht="92.85" customHeight="1">
      <c r="C89" s="88" t="s">
        <v>1491</v>
      </c>
      <c r="D89" s="116" t="s">
        <v>1492</v>
      </c>
    </row>
    <row r="90" spans="3:4" ht="78.599999999999994" customHeight="1">
      <c r="C90" s="88" t="s">
        <v>1493</v>
      </c>
      <c r="D90" s="116" t="s">
        <v>1494</v>
      </c>
    </row>
    <row r="91" spans="3:4" ht="73.349999999999994" customHeight="1">
      <c r="C91" s="88" t="s">
        <v>1495</v>
      </c>
      <c r="D91" s="116" t="s">
        <v>1496</v>
      </c>
    </row>
    <row r="92" spans="3:4" ht="79.349999999999994" customHeight="1">
      <c r="C92" s="88" t="s">
        <v>1497</v>
      </c>
      <c r="D92" s="116" t="s">
        <v>1498</v>
      </c>
    </row>
    <row r="93" spans="3:4" ht="101.45">
      <c r="C93" s="88" t="s">
        <v>1499</v>
      </c>
      <c r="D93" s="116" t="s">
        <v>389</v>
      </c>
    </row>
    <row r="94" spans="3:4" ht="57.95">
      <c r="C94" s="88" t="s">
        <v>1500</v>
      </c>
      <c r="D94" s="116" t="s">
        <v>1501</v>
      </c>
    </row>
    <row r="95" spans="3:4" ht="57.95">
      <c r="C95" s="88" t="s">
        <v>1502</v>
      </c>
      <c r="D95" s="116" t="s">
        <v>1503</v>
      </c>
    </row>
    <row r="96" spans="3:4" ht="72.599999999999994">
      <c r="C96" s="88" t="s">
        <v>1504</v>
      </c>
      <c r="D96" s="116" t="s">
        <v>1505</v>
      </c>
    </row>
    <row r="97" spans="3:4" ht="72.599999999999994">
      <c r="C97" s="88" t="s">
        <v>1506</v>
      </c>
      <c r="D97" s="116" t="s">
        <v>1507</v>
      </c>
    </row>
    <row r="98" spans="3:4" ht="57.95">
      <c r="C98" s="122" t="s">
        <v>1508</v>
      </c>
      <c r="D98" s="123" t="s">
        <v>1509</v>
      </c>
    </row>
    <row r="99" spans="3:4" ht="72.599999999999994">
      <c r="C99" s="88" t="s">
        <v>1510</v>
      </c>
      <c r="D99" s="116" t="s">
        <v>1511</v>
      </c>
    </row>
    <row r="100" spans="3:4" ht="57.95">
      <c r="C100" s="25" t="s">
        <v>1512</v>
      </c>
      <c r="D100" s="125" t="s">
        <v>1513</v>
      </c>
    </row>
    <row r="101" spans="3:4" ht="57.95">
      <c r="C101" s="25" t="s">
        <v>1514</v>
      </c>
      <c r="D101" s="125" t="s">
        <v>1515</v>
      </c>
    </row>
    <row r="102" spans="3:4" ht="57.95">
      <c r="C102" s="25" t="s">
        <v>1516</v>
      </c>
      <c r="D102" s="125" t="s">
        <v>1517</v>
      </c>
    </row>
    <row r="103" spans="3:4" ht="72.599999999999994">
      <c r="C103" s="25" t="s">
        <v>1518</v>
      </c>
      <c r="D103" s="125" t="s">
        <v>471</v>
      </c>
    </row>
    <row r="104" spans="3:4" ht="57.95">
      <c r="C104" s="25" t="s">
        <v>1519</v>
      </c>
      <c r="D104" s="116" t="s">
        <v>1520</v>
      </c>
    </row>
    <row r="105" spans="3:4" ht="57.95">
      <c r="C105" s="25" t="s">
        <v>1521</v>
      </c>
      <c r="D105" s="116" t="s">
        <v>1522</v>
      </c>
    </row>
    <row r="106" spans="3:4" ht="57.95">
      <c r="C106" s="25" t="s">
        <v>1523</v>
      </c>
      <c r="D106" s="116" t="s">
        <v>1524</v>
      </c>
    </row>
    <row r="107" spans="3:4" ht="57.95">
      <c r="C107" s="25" t="s">
        <v>1525</v>
      </c>
      <c r="D107" s="116" t="s">
        <v>1526</v>
      </c>
    </row>
    <row r="108" spans="3:4" ht="72.599999999999994">
      <c r="C108" s="25" t="s">
        <v>1527</v>
      </c>
      <c r="D108" s="116" t="s">
        <v>481</v>
      </c>
    </row>
    <row r="109" spans="3:4" ht="57.95">
      <c r="C109" s="25" t="s">
        <v>1528</v>
      </c>
      <c r="D109" s="116" t="s">
        <v>1529</v>
      </c>
    </row>
    <row r="110" spans="3:4" ht="57.95">
      <c r="C110" s="25" t="s">
        <v>1530</v>
      </c>
      <c r="D110" s="116" t="s">
        <v>1531</v>
      </c>
    </row>
    <row r="111" spans="3:4" ht="57.95">
      <c r="C111" s="25" t="s">
        <v>1532</v>
      </c>
      <c r="D111" s="116" t="s">
        <v>1533</v>
      </c>
    </row>
    <row r="112" spans="3:4" ht="72.599999999999994">
      <c r="C112" s="25" t="s">
        <v>1534</v>
      </c>
      <c r="D112" s="116" t="s">
        <v>1535</v>
      </c>
    </row>
    <row r="113" spans="3:4" ht="57.95">
      <c r="C113" s="25" t="s">
        <v>1536</v>
      </c>
      <c r="D113" s="116" t="s">
        <v>1537</v>
      </c>
    </row>
    <row r="114" spans="3:4" ht="57.95">
      <c r="C114" s="25" t="s">
        <v>1538</v>
      </c>
      <c r="D114" s="116" t="s">
        <v>1539</v>
      </c>
    </row>
    <row r="115" spans="3:4" ht="57.95">
      <c r="C115" s="25" t="s">
        <v>1540</v>
      </c>
      <c r="D115" s="116" t="s">
        <v>1541</v>
      </c>
    </row>
    <row r="116" spans="3:4" ht="72.599999999999994">
      <c r="C116" s="87" t="s">
        <v>1542</v>
      </c>
      <c r="D116" s="116" t="s">
        <v>1543</v>
      </c>
    </row>
    <row r="117" spans="3:4" ht="72.599999999999994">
      <c r="C117" s="87" t="s">
        <v>1544</v>
      </c>
      <c r="D117" s="116" t="s">
        <v>1545</v>
      </c>
    </row>
    <row r="118" spans="3:4" ht="57.95">
      <c r="C118" s="87" t="s">
        <v>1546</v>
      </c>
      <c r="D118" s="116" t="s">
        <v>1547</v>
      </c>
    </row>
    <row r="119" spans="3:4" ht="87">
      <c r="C119" s="87" t="s">
        <v>1548</v>
      </c>
      <c r="D119" s="116" t="s">
        <v>1549</v>
      </c>
    </row>
    <row r="120" spans="3:4" ht="87">
      <c r="C120" s="87" t="s">
        <v>1550</v>
      </c>
      <c r="D120" s="116" t="s">
        <v>546</v>
      </c>
    </row>
    <row r="121" spans="3:4" ht="87">
      <c r="C121" s="87" t="s">
        <v>1551</v>
      </c>
      <c r="D121" s="116" t="s">
        <v>557</v>
      </c>
    </row>
    <row r="122" spans="3:4" ht="57.95">
      <c r="C122" s="87" t="s">
        <v>1552</v>
      </c>
      <c r="D122" s="116" t="s">
        <v>1553</v>
      </c>
    </row>
    <row r="123" spans="3:4" ht="57.95">
      <c r="C123" s="87" t="s">
        <v>1554</v>
      </c>
      <c r="D123" s="116" t="s">
        <v>1555</v>
      </c>
    </row>
    <row r="124" spans="3:4" ht="57.95">
      <c r="C124" s="87" t="s">
        <v>1556</v>
      </c>
      <c r="D124" s="116" t="s">
        <v>1557</v>
      </c>
    </row>
    <row r="125" spans="3:4" ht="57.95">
      <c r="C125" s="87" t="s">
        <v>1558</v>
      </c>
      <c r="D125" s="116" t="s">
        <v>1559</v>
      </c>
    </row>
    <row r="126" spans="3:4" ht="57.95">
      <c r="C126" s="87" t="s">
        <v>1560</v>
      </c>
      <c r="D126" s="116" t="s">
        <v>1561</v>
      </c>
    </row>
    <row r="127" spans="3:4" ht="72.599999999999994">
      <c r="C127" s="87" t="s">
        <v>1562</v>
      </c>
      <c r="D127" s="116" t="s">
        <v>1563</v>
      </c>
    </row>
    <row r="128" spans="3:4" ht="57.95">
      <c r="C128" s="87" t="s">
        <v>1564</v>
      </c>
      <c r="D128" s="116" t="s">
        <v>1565</v>
      </c>
    </row>
    <row r="129" spans="3:4" ht="57.95">
      <c r="C129" s="87" t="s">
        <v>1566</v>
      </c>
      <c r="D129" s="116" t="s">
        <v>1567</v>
      </c>
    </row>
    <row r="130" spans="3:4" ht="57.95">
      <c r="C130" s="87" t="s">
        <v>1568</v>
      </c>
      <c r="D130" s="116" t="s">
        <v>1569</v>
      </c>
    </row>
    <row r="131" spans="3:4" ht="57.95">
      <c r="C131" s="87" t="s">
        <v>1570</v>
      </c>
      <c r="D131" s="116" t="s">
        <v>1571</v>
      </c>
    </row>
    <row r="132" spans="3:4" ht="57.95">
      <c r="C132" s="87" t="s">
        <v>1572</v>
      </c>
      <c r="D132" s="116" t="s">
        <v>1573</v>
      </c>
    </row>
    <row r="133" spans="3:4" ht="57.95">
      <c r="C133" s="87" t="s">
        <v>1574</v>
      </c>
      <c r="D133" s="116" t="s">
        <v>1575</v>
      </c>
    </row>
    <row r="134" spans="3:4" ht="57.95">
      <c r="C134" s="87" t="s">
        <v>1576</v>
      </c>
      <c r="D134" s="116" t="s">
        <v>1577</v>
      </c>
    </row>
    <row r="135" spans="3:4" ht="72.599999999999994">
      <c r="C135" s="87" t="s">
        <v>1578</v>
      </c>
      <c r="D135" s="116" t="s">
        <v>1579</v>
      </c>
    </row>
    <row r="136" spans="3:4" ht="57.95">
      <c r="C136" s="87" t="s">
        <v>1580</v>
      </c>
      <c r="D136" s="116" t="s">
        <v>1581</v>
      </c>
    </row>
    <row r="137" spans="3:4" ht="72.599999999999994">
      <c r="C137" s="87" t="s">
        <v>1582</v>
      </c>
      <c r="D137" s="116" t="s">
        <v>1583</v>
      </c>
    </row>
    <row r="138" spans="3:4" ht="72.599999999999994">
      <c r="C138" s="87" t="s">
        <v>1584</v>
      </c>
      <c r="D138" s="116" t="s">
        <v>1585</v>
      </c>
    </row>
    <row r="139" spans="3:4" ht="57.95">
      <c r="C139" s="87" t="s">
        <v>1586</v>
      </c>
      <c r="D139" s="116" t="s">
        <v>1587</v>
      </c>
    </row>
    <row r="140" spans="3:4" ht="57.95">
      <c r="C140" s="87" t="s">
        <v>1588</v>
      </c>
      <c r="D140" s="116" t="s">
        <v>1589</v>
      </c>
    </row>
    <row r="141" spans="3:4" ht="57.95">
      <c r="C141" s="87" t="s">
        <v>1590</v>
      </c>
      <c r="D141" s="116" t="s">
        <v>1591</v>
      </c>
    </row>
    <row r="142" spans="3:4" ht="57.95">
      <c r="C142" s="87" t="s">
        <v>1592</v>
      </c>
      <c r="D142" s="116" t="s">
        <v>1593</v>
      </c>
    </row>
    <row r="143" spans="3:4" ht="57.95">
      <c r="C143" s="87" t="s">
        <v>1594</v>
      </c>
      <c r="D143" s="116" t="s">
        <v>1595</v>
      </c>
    </row>
    <row r="144" spans="3:4" ht="72.599999999999994">
      <c r="C144" s="87" t="s">
        <v>1596</v>
      </c>
      <c r="D144" s="116" t="s">
        <v>1597</v>
      </c>
    </row>
    <row r="145" spans="3:4" ht="57.95">
      <c r="C145" s="87" t="s">
        <v>1598</v>
      </c>
      <c r="D145" s="116" t="s">
        <v>1599</v>
      </c>
    </row>
    <row r="146" spans="3:4" ht="57.95">
      <c r="C146" s="87" t="s">
        <v>1600</v>
      </c>
      <c r="D146" s="116" t="s">
        <v>1601</v>
      </c>
    </row>
    <row r="147" spans="3:4" ht="57.95">
      <c r="C147" s="87" t="s">
        <v>1602</v>
      </c>
      <c r="D147" s="116" t="s">
        <v>1603</v>
      </c>
    </row>
    <row r="148" spans="3:4" ht="57.95">
      <c r="C148" s="87" t="s">
        <v>1604</v>
      </c>
      <c r="D148" s="116" t="s">
        <v>1605</v>
      </c>
    </row>
    <row r="149" spans="3:4" ht="57.95">
      <c r="C149" s="87" t="s">
        <v>1606</v>
      </c>
      <c r="D149" s="116" t="s">
        <v>1607</v>
      </c>
    </row>
    <row r="150" spans="3:4" ht="57.95">
      <c r="C150" s="87" t="s">
        <v>1608</v>
      </c>
      <c r="D150" s="116" t="s">
        <v>1609</v>
      </c>
    </row>
    <row r="151" spans="3:4" ht="57.95">
      <c r="C151" s="87" t="s">
        <v>1610</v>
      </c>
      <c r="D151" s="116" t="s">
        <v>1611</v>
      </c>
    </row>
    <row r="152" spans="3:4" ht="57.95">
      <c r="C152" s="87" t="s">
        <v>1612</v>
      </c>
      <c r="D152" s="116" t="s">
        <v>1613</v>
      </c>
    </row>
    <row r="153" spans="3:4" ht="57.95">
      <c r="C153" s="87" t="s">
        <v>1614</v>
      </c>
      <c r="D153" s="116" t="s">
        <v>1615</v>
      </c>
    </row>
    <row r="154" spans="3:4" ht="57.95">
      <c r="C154" s="87" t="s">
        <v>1616</v>
      </c>
      <c r="D154" s="116" t="s">
        <v>1617</v>
      </c>
    </row>
    <row r="155" spans="3:4" ht="57.95">
      <c r="C155" s="87" t="s">
        <v>1618</v>
      </c>
      <c r="D155" s="116" t="s">
        <v>1619</v>
      </c>
    </row>
    <row r="156" spans="3:4" ht="57.95">
      <c r="C156" s="87" t="s">
        <v>1620</v>
      </c>
      <c r="D156" s="116" t="s">
        <v>1621</v>
      </c>
    </row>
    <row r="157" spans="3:4" ht="57.95">
      <c r="C157" s="87" t="s">
        <v>1622</v>
      </c>
      <c r="D157" s="116" t="s">
        <v>1623</v>
      </c>
    </row>
    <row r="158" spans="3:4" ht="57.95">
      <c r="C158" s="87" t="s">
        <v>1624</v>
      </c>
      <c r="D158" s="116" t="s">
        <v>1625</v>
      </c>
    </row>
    <row r="159" spans="3:4" ht="57.95">
      <c r="C159" s="87" t="s">
        <v>1626</v>
      </c>
      <c r="D159" s="116" t="s">
        <v>1627</v>
      </c>
    </row>
    <row r="160" spans="3:4" ht="57.95">
      <c r="C160" s="87" t="s">
        <v>1628</v>
      </c>
      <c r="D160" s="116" t="s">
        <v>1629</v>
      </c>
    </row>
    <row r="161" spans="3:4" ht="57.95">
      <c r="C161" s="87" t="s">
        <v>1630</v>
      </c>
      <c r="D161" s="116" t="s">
        <v>1631</v>
      </c>
    </row>
    <row r="162" spans="3:4" ht="57.95">
      <c r="C162" s="87" t="s">
        <v>1632</v>
      </c>
      <c r="D162" s="116" t="s">
        <v>1633</v>
      </c>
    </row>
    <row r="163" spans="3:4" ht="72.599999999999994">
      <c r="C163" s="87" t="s">
        <v>1634</v>
      </c>
      <c r="D163" s="116" t="s">
        <v>1635</v>
      </c>
    </row>
    <row r="164" spans="3:4" ht="57.95">
      <c r="C164" s="87" t="s">
        <v>1636</v>
      </c>
      <c r="D164" s="116" t="s">
        <v>1637</v>
      </c>
    </row>
    <row r="165" spans="3:4" ht="57.95">
      <c r="C165" s="87" t="s">
        <v>1638</v>
      </c>
      <c r="D165" s="116" t="s">
        <v>1639</v>
      </c>
    </row>
    <row r="166" spans="3:4" ht="57.95">
      <c r="C166" s="87" t="s">
        <v>1640</v>
      </c>
      <c r="D166" s="116" t="s">
        <v>1641</v>
      </c>
    </row>
    <row r="167" spans="3:4" ht="57.95">
      <c r="C167" s="87" t="s">
        <v>1642</v>
      </c>
      <c r="D167" s="116" t="s">
        <v>1643</v>
      </c>
    </row>
    <row r="168" spans="3:4" ht="57.95">
      <c r="C168" s="87" t="s">
        <v>1644</v>
      </c>
      <c r="D168" s="116" t="s">
        <v>1645</v>
      </c>
    </row>
    <row r="169" spans="3:4" ht="72.599999999999994">
      <c r="C169" s="87" t="s">
        <v>1646</v>
      </c>
      <c r="D169" s="116" t="s">
        <v>1647</v>
      </c>
    </row>
    <row r="170" spans="3:4" ht="72.599999999999994">
      <c r="C170" s="87" t="s">
        <v>1648</v>
      </c>
      <c r="D170" s="116" t="s">
        <v>1649</v>
      </c>
    </row>
    <row r="171" spans="3:4" ht="72.599999999999994">
      <c r="C171" s="87" t="s">
        <v>1650</v>
      </c>
      <c r="D171" s="116" t="s">
        <v>1651</v>
      </c>
    </row>
    <row r="172" spans="3:4" ht="57.95">
      <c r="C172" s="87" t="s">
        <v>1652</v>
      </c>
      <c r="D172" s="116" t="s">
        <v>1653</v>
      </c>
    </row>
    <row r="173" spans="3:4" ht="57.95">
      <c r="C173" s="87" t="s">
        <v>1654</v>
      </c>
      <c r="D173" s="116" t="s">
        <v>1655</v>
      </c>
    </row>
    <row r="174" spans="3:4" ht="87">
      <c r="C174" s="87" t="s">
        <v>1656</v>
      </c>
      <c r="D174" s="116" t="s">
        <v>1657</v>
      </c>
    </row>
    <row r="175" spans="3:4" ht="87">
      <c r="C175" s="87" t="s">
        <v>1658</v>
      </c>
      <c r="D175" s="116" t="s">
        <v>1659</v>
      </c>
    </row>
    <row r="176" spans="3:4" ht="57.95">
      <c r="C176" s="87" t="s">
        <v>1660</v>
      </c>
      <c r="D176" s="116" t="s">
        <v>1661</v>
      </c>
    </row>
    <row r="177" spans="3:4" ht="57.95">
      <c r="C177" s="87" t="s">
        <v>1662</v>
      </c>
      <c r="D177" s="116" t="s">
        <v>1663</v>
      </c>
    </row>
    <row r="178" spans="3:4" ht="57.95">
      <c r="C178" s="87" t="s">
        <v>1664</v>
      </c>
      <c r="D178" s="116" t="s">
        <v>1665</v>
      </c>
    </row>
    <row r="179" spans="3:4" ht="57.95">
      <c r="C179" s="87" t="s">
        <v>1666</v>
      </c>
      <c r="D179" s="116" t="s">
        <v>1667</v>
      </c>
    </row>
    <row r="180" spans="3:4" ht="57.95">
      <c r="C180" s="87" t="s">
        <v>1668</v>
      </c>
      <c r="D180" s="116" t="s">
        <v>1669</v>
      </c>
    </row>
    <row r="181" spans="3:4" ht="57.95">
      <c r="C181" s="87" t="s">
        <v>1670</v>
      </c>
      <c r="D181" s="116" t="s">
        <v>1671</v>
      </c>
    </row>
    <row r="182" spans="3:4" ht="57.95">
      <c r="C182" s="87" t="s">
        <v>1672</v>
      </c>
      <c r="D182" s="116" t="s">
        <v>1673</v>
      </c>
    </row>
    <row r="183" spans="3:4" ht="57.95">
      <c r="C183" s="87" t="s">
        <v>1674</v>
      </c>
      <c r="D183" s="116" t="s">
        <v>1675</v>
      </c>
    </row>
    <row r="184" spans="3:4" ht="72.599999999999994">
      <c r="C184" s="87" t="s">
        <v>1676</v>
      </c>
      <c r="D184" s="116" t="s">
        <v>1677</v>
      </c>
    </row>
    <row r="185" spans="3:4" ht="57.95">
      <c r="C185" s="87" t="s">
        <v>1678</v>
      </c>
      <c r="D185" s="116" t="s">
        <v>1679</v>
      </c>
    </row>
    <row r="186" spans="3:4" ht="72.599999999999994">
      <c r="C186" s="87" t="s">
        <v>1680</v>
      </c>
      <c r="D186" s="116" t="s">
        <v>1681</v>
      </c>
    </row>
    <row r="187" spans="3:4" ht="57.95">
      <c r="C187" s="87" t="s">
        <v>1682</v>
      </c>
      <c r="D187" s="116" t="s">
        <v>1683</v>
      </c>
    </row>
    <row r="188" spans="3:4" ht="57.95">
      <c r="C188" s="87" t="s">
        <v>1684</v>
      </c>
      <c r="D188" s="116" t="s">
        <v>1685</v>
      </c>
    </row>
    <row r="189" spans="3:4" ht="57.95">
      <c r="C189" s="87" t="s">
        <v>1686</v>
      </c>
      <c r="D189" s="116" t="s">
        <v>1687</v>
      </c>
    </row>
    <row r="190" spans="3:4" ht="57.95">
      <c r="C190" s="87" t="s">
        <v>1688</v>
      </c>
      <c r="D190" s="116" t="s">
        <v>1689</v>
      </c>
    </row>
    <row r="191" spans="3:4" ht="72.599999999999994">
      <c r="C191" s="87" t="s">
        <v>1690</v>
      </c>
      <c r="D191" s="116" t="s">
        <v>1691</v>
      </c>
    </row>
    <row r="192" spans="3:4" ht="72.599999999999994">
      <c r="C192" s="87" t="s">
        <v>1692</v>
      </c>
      <c r="D192" s="116" t="s">
        <v>1693</v>
      </c>
    </row>
    <row r="193" spans="3:4" ht="57.95">
      <c r="C193" s="87" t="s">
        <v>1694</v>
      </c>
      <c r="D193" s="116" t="s">
        <v>1695</v>
      </c>
    </row>
    <row r="194" spans="3:4" ht="57.95">
      <c r="C194" s="87" t="s">
        <v>1696</v>
      </c>
      <c r="D194" s="116" t="s">
        <v>1697</v>
      </c>
    </row>
    <row r="195" spans="3:4" ht="57.95">
      <c r="C195" s="87" t="s">
        <v>1698</v>
      </c>
      <c r="D195" s="116" t="s">
        <v>1699</v>
      </c>
    </row>
    <row r="196" spans="3:4" ht="57.95">
      <c r="C196" s="87" t="s">
        <v>1700</v>
      </c>
      <c r="D196" s="116" t="s">
        <v>1701</v>
      </c>
    </row>
    <row r="197" spans="3:4" ht="57.95">
      <c r="C197" s="87" t="s">
        <v>1702</v>
      </c>
      <c r="D197" s="116" t="s">
        <v>1703</v>
      </c>
    </row>
    <row r="198" spans="3:4" ht="72.599999999999994">
      <c r="C198" s="87" t="s">
        <v>1704</v>
      </c>
      <c r="D198" s="116" t="s">
        <v>1705</v>
      </c>
    </row>
    <row r="199" spans="3:4" ht="57.95">
      <c r="C199" s="87" t="s">
        <v>1706</v>
      </c>
      <c r="D199" s="116" t="s">
        <v>1707</v>
      </c>
    </row>
    <row r="200" spans="3:4" ht="72.599999999999994">
      <c r="C200" s="87" t="s">
        <v>1708</v>
      </c>
      <c r="D200" s="116" t="s">
        <v>1709</v>
      </c>
    </row>
    <row r="201" spans="3:4" ht="57.95">
      <c r="C201" s="87" t="s">
        <v>1710</v>
      </c>
      <c r="D201" s="116" t="s">
        <v>1711</v>
      </c>
    </row>
    <row r="202" spans="3:4" ht="57.95">
      <c r="C202" s="87" t="s">
        <v>1712</v>
      </c>
      <c r="D202" s="116" t="s">
        <v>1713</v>
      </c>
    </row>
    <row r="203" spans="3:4" ht="57.95">
      <c r="C203" s="87" t="s">
        <v>1714</v>
      </c>
      <c r="D203" s="116" t="s">
        <v>1715</v>
      </c>
    </row>
    <row r="204" spans="3:4" ht="57.95">
      <c r="C204" s="87" t="s">
        <v>1716</v>
      </c>
      <c r="D204" s="116" t="s">
        <v>1717</v>
      </c>
    </row>
    <row r="205" spans="3:4" ht="57.95">
      <c r="C205" s="87" t="s">
        <v>1718</v>
      </c>
      <c r="D205" s="116" t="s">
        <v>1719</v>
      </c>
    </row>
    <row r="206" spans="3:4" ht="57.95">
      <c r="C206" s="87" t="s">
        <v>1720</v>
      </c>
      <c r="D206" s="116" t="s">
        <v>1721</v>
      </c>
    </row>
    <row r="207" spans="3:4" ht="57.95">
      <c r="C207" s="87" t="s">
        <v>1722</v>
      </c>
      <c r="D207" s="116" t="s">
        <v>1723</v>
      </c>
    </row>
    <row r="208" spans="3:4" ht="57.95">
      <c r="C208" s="170" t="s">
        <v>1724</v>
      </c>
      <c r="D208" s="116" t="s">
        <v>1725</v>
      </c>
    </row>
    <row r="209" spans="2:4" ht="57.95">
      <c r="C209" s="87" t="s">
        <v>1726</v>
      </c>
      <c r="D209" s="116" t="s">
        <v>1727</v>
      </c>
    </row>
    <row r="210" spans="2:4" ht="57.95">
      <c r="C210" s="170" t="s">
        <v>1728</v>
      </c>
      <c r="D210" s="116" t="s">
        <v>1729</v>
      </c>
    </row>
    <row r="211" spans="2:4" ht="87">
      <c r="C211" s="87" t="s">
        <v>1730</v>
      </c>
      <c r="D211" s="116" t="s">
        <v>1731</v>
      </c>
    </row>
    <row r="212" spans="2:4" ht="57.95">
      <c r="C212" s="192" t="s">
        <v>1732</v>
      </c>
      <c r="D212" s="116" t="s">
        <v>1733</v>
      </c>
    </row>
    <row r="213" spans="2:4" ht="87">
      <c r="C213" s="192" t="s">
        <v>1734</v>
      </c>
      <c r="D213" s="116" t="s">
        <v>1735</v>
      </c>
    </row>
    <row r="214" spans="2:4" ht="57.95">
      <c r="C214" s="192" t="s">
        <v>1736</v>
      </c>
      <c r="D214" s="116" t="s">
        <v>1737</v>
      </c>
    </row>
    <row r="215" spans="2:4" ht="57.95">
      <c r="C215" s="192" t="s">
        <v>1738</v>
      </c>
      <c r="D215" s="116" t="s">
        <v>1739</v>
      </c>
    </row>
    <row r="216" spans="2:4" ht="57.95">
      <c r="C216" s="192" t="s">
        <v>1740</v>
      </c>
      <c r="D216" s="116" t="s">
        <v>1741</v>
      </c>
    </row>
    <row r="217" spans="2:4" ht="72.599999999999994">
      <c r="C217" s="192" t="s">
        <v>1742</v>
      </c>
      <c r="D217" s="116" t="s">
        <v>1743</v>
      </c>
    </row>
    <row r="218" spans="2:4" ht="72.599999999999994">
      <c r="C218" s="192" t="s">
        <v>1744</v>
      </c>
      <c r="D218" s="116" t="s">
        <v>1745</v>
      </c>
    </row>
    <row r="219" spans="2:4" ht="72.599999999999994">
      <c r="B219" s="28" t="s">
        <v>1746</v>
      </c>
      <c r="C219" s="192" t="s">
        <v>1747</v>
      </c>
      <c r="D219" s="116" t="s">
        <v>1748</v>
      </c>
    </row>
    <row r="220" spans="2:4" ht="116.25" customHeight="1">
      <c r="C220" s="192" t="s">
        <v>1749</v>
      </c>
      <c r="D220" s="116" t="s">
        <v>950</v>
      </c>
    </row>
    <row r="221" spans="2:4" ht="57.95">
      <c r="C221" s="192" t="s">
        <v>1750</v>
      </c>
      <c r="D221" s="116" t="s">
        <v>1751</v>
      </c>
    </row>
    <row r="222" spans="2:4" ht="57.95">
      <c r="C222" s="192" t="s">
        <v>1752</v>
      </c>
      <c r="D222" s="116" t="s">
        <v>1753</v>
      </c>
    </row>
    <row r="223" spans="2:4" ht="57.95">
      <c r="C223" s="192" t="s">
        <v>1754</v>
      </c>
      <c r="D223" s="116" t="s">
        <v>1755</v>
      </c>
    </row>
    <row r="224" spans="2:4" ht="57.95">
      <c r="C224" s="192" t="s">
        <v>1756</v>
      </c>
      <c r="D224" s="116" t="s">
        <v>1757</v>
      </c>
    </row>
    <row r="225" spans="2:4" ht="57.95">
      <c r="C225" s="192" t="s">
        <v>1758</v>
      </c>
      <c r="D225" s="116" t="s">
        <v>1759</v>
      </c>
    </row>
    <row r="226" spans="2:4" ht="87">
      <c r="C226" s="192" t="s">
        <v>1760</v>
      </c>
      <c r="D226" s="116" t="s">
        <v>975</v>
      </c>
    </row>
    <row r="227" spans="2:4" ht="87">
      <c r="B227" s="7"/>
      <c r="C227" s="192" t="s">
        <v>1761</v>
      </c>
      <c r="D227" s="116" t="s">
        <v>1762</v>
      </c>
    </row>
    <row r="228" spans="2:4" ht="57.95">
      <c r="C228" s="192" t="s">
        <v>1763</v>
      </c>
      <c r="D228" s="116" t="s">
        <v>1764</v>
      </c>
    </row>
    <row r="229" spans="2:4" ht="57.95">
      <c r="C229" s="192" t="s">
        <v>1765</v>
      </c>
      <c r="D229" s="116" t="s">
        <v>1766</v>
      </c>
    </row>
    <row r="230" spans="2:4" ht="57.95">
      <c r="C230" s="192" t="s">
        <v>1767</v>
      </c>
      <c r="D230" s="116" t="s">
        <v>1768</v>
      </c>
    </row>
    <row r="231" spans="2:4" ht="57.95">
      <c r="B231" s="28" t="s">
        <v>1769</v>
      </c>
      <c r="C231" s="192" t="s">
        <v>1770</v>
      </c>
      <c r="D231" s="116" t="s">
        <v>1771</v>
      </c>
    </row>
    <row r="232" spans="2:4" ht="57.95">
      <c r="C232" s="192" t="s">
        <v>1772</v>
      </c>
      <c r="D232" s="116" t="s">
        <v>1773</v>
      </c>
    </row>
    <row r="233" spans="2:4" ht="57.95">
      <c r="C233" s="192" t="s">
        <v>1774</v>
      </c>
      <c r="D233" s="116" t="s">
        <v>1775</v>
      </c>
    </row>
    <row r="234" spans="2:4" ht="57.95">
      <c r="C234" s="192" t="s">
        <v>1776</v>
      </c>
      <c r="D234" s="116" t="s">
        <v>1777</v>
      </c>
    </row>
    <row r="235" spans="2:4" ht="57.95">
      <c r="C235" s="192" t="s">
        <v>1778</v>
      </c>
      <c r="D235" s="116" t="s">
        <v>1779</v>
      </c>
    </row>
    <row r="236" spans="2:4" ht="57.95">
      <c r="C236" s="192" t="s">
        <v>1780</v>
      </c>
      <c r="D236" s="116" t="s">
        <v>1781</v>
      </c>
    </row>
    <row r="237" spans="2:4" ht="57.95">
      <c r="C237" s="192" t="s">
        <v>1782</v>
      </c>
      <c r="D237" s="116" t="s">
        <v>1783</v>
      </c>
    </row>
    <row r="238" spans="2:4" ht="57.95">
      <c r="C238" s="192" t="s">
        <v>1784</v>
      </c>
      <c r="D238" s="116" t="s">
        <v>1785</v>
      </c>
    </row>
    <row r="239" spans="2:4" ht="57.95">
      <c r="C239" s="193" t="s">
        <v>1786</v>
      </c>
      <c r="D239" s="116" t="s">
        <v>1787</v>
      </c>
    </row>
    <row r="240" spans="2:4" ht="57.95">
      <c r="C240" s="193" t="s">
        <v>1788</v>
      </c>
      <c r="D240" s="116" t="s">
        <v>1789</v>
      </c>
    </row>
    <row r="241" spans="3:4" ht="72.599999999999994">
      <c r="C241" s="193" t="s">
        <v>1790</v>
      </c>
      <c r="D241" s="116" t="s">
        <v>1791</v>
      </c>
    </row>
    <row r="242" spans="3:4" ht="101.45">
      <c r="C242" s="193" t="s">
        <v>1792</v>
      </c>
      <c r="D242" s="116" t="s">
        <v>989</v>
      </c>
    </row>
    <row r="243" spans="3:4" ht="101.45">
      <c r="C243" s="193" t="s">
        <v>1793</v>
      </c>
      <c r="D243" s="116" t="s">
        <v>1794</v>
      </c>
    </row>
    <row r="244" spans="3:4" ht="101.45">
      <c r="C244" s="193" t="s">
        <v>1795</v>
      </c>
      <c r="D244" s="116" t="s">
        <v>1796</v>
      </c>
    </row>
    <row r="245" spans="3:4" ht="72.599999999999994">
      <c r="C245" s="192" t="s">
        <v>1797</v>
      </c>
      <c r="D245" s="116" t="s">
        <v>1798</v>
      </c>
    </row>
    <row r="246" spans="3:4" ht="57.95">
      <c r="C246" s="192" t="s">
        <v>1799</v>
      </c>
      <c r="D246" s="116" t="s">
        <v>1800</v>
      </c>
    </row>
    <row r="247" spans="3:4" ht="57.95">
      <c r="C247" s="192" t="s">
        <v>1801</v>
      </c>
      <c r="D247" s="116" t="s">
        <v>1802</v>
      </c>
    </row>
    <row r="248" spans="3:4" ht="57.95">
      <c r="C248" s="192" t="s">
        <v>1803</v>
      </c>
      <c r="D248" s="116" t="s">
        <v>1804</v>
      </c>
    </row>
    <row r="249" spans="3:4" ht="57.95">
      <c r="C249" s="192" t="s">
        <v>1805</v>
      </c>
      <c r="D249" s="116" t="s">
        <v>1806</v>
      </c>
    </row>
    <row r="250" spans="3:4" ht="57.95">
      <c r="C250" s="192" t="s">
        <v>1807</v>
      </c>
      <c r="D250" s="116" t="s">
        <v>1808</v>
      </c>
    </row>
    <row r="251" spans="3:4" ht="57.95">
      <c r="C251" s="192" t="s">
        <v>1809</v>
      </c>
      <c r="D251" s="116" t="s">
        <v>1810</v>
      </c>
    </row>
    <row r="252" spans="3:4" ht="57.95">
      <c r="C252" s="192" t="s">
        <v>1811</v>
      </c>
      <c r="D252" s="116" t="s">
        <v>1812</v>
      </c>
    </row>
    <row r="253" spans="3:4" ht="57.95">
      <c r="C253" s="192" t="s">
        <v>1813</v>
      </c>
      <c r="D253" s="116" t="s">
        <v>1814</v>
      </c>
    </row>
    <row r="254" spans="3:4" ht="57.95">
      <c r="C254" s="192" t="s">
        <v>1815</v>
      </c>
      <c r="D254" s="116" t="s">
        <v>1816</v>
      </c>
    </row>
    <row r="255" spans="3:4" ht="101.45">
      <c r="C255" s="192" t="s">
        <v>1817</v>
      </c>
      <c r="D255" s="116" t="s">
        <v>1818</v>
      </c>
    </row>
    <row r="256" spans="3:4" ht="57.95">
      <c r="C256" s="192" t="s">
        <v>1819</v>
      </c>
      <c r="D256" s="116" t="s">
        <v>1820</v>
      </c>
    </row>
    <row r="257" spans="2:4" ht="57.95">
      <c r="C257" s="192" t="s">
        <v>1821</v>
      </c>
      <c r="D257" s="116" t="s">
        <v>1822</v>
      </c>
    </row>
    <row r="258" spans="2:4" ht="116.1">
      <c r="C258" s="192" t="s">
        <v>1823</v>
      </c>
      <c r="D258" s="116" t="s">
        <v>1824</v>
      </c>
    </row>
    <row r="259" spans="2:4" ht="101.45">
      <c r="C259" s="192" t="s">
        <v>1825</v>
      </c>
      <c r="D259" s="116" t="s">
        <v>1826</v>
      </c>
    </row>
    <row r="260" spans="2:4" ht="57.95">
      <c r="C260" s="192" t="s">
        <v>1827</v>
      </c>
      <c r="D260" s="116" t="s">
        <v>1828</v>
      </c>
    </row>
    <row r="261" spans="2:4" ht="87">
      <c r="C261" s="192" t="s">
        <v>1829</v>
      </c>
      <c r="D261" s="116" t="s">
        <v>1830</v>
      </c>
    </row>
    <row r="262" spans="2:4" ht="87">
      <c r="C262" s="192" t="s">
        <v>1831</v>
      </c>
      <c r="D262" s="116" t="s">
        <v>1832</v>
      </c>
    </row>
    <row r="263" spans="2:4" ht="57.95">
      <c r="C263" s="192" t="s">
        <v>1833</v>
      </c>
      <c r="D263" s="116" t="s">
        <v>1834</v>
      </c>
    </row>
    <row r="264" spans="2:4" ht="57.95">
      <c r="C264" s="192" t="s">
        <v>1835</v>
      </c>
      <c r="D264" s="116" t="s">
        <v>1836</v>
      </c>
    </row>
    <row r="265" spans="2:4" ht="57.95">
      <c r="C265" s="192" t="s">
        <v>1837</v>
      </c>
      <c r="D265" s="116" t="s">
        <v>1838</v>
      </c>
    </row>
    <row r="266" spans="2:4" ht="57.95">
      <c r="C266" s="192" t="s">
        <v>1839</v>
      </c>
      <c r="D266" s="116" t="s">
        <v>1840</v>
      </c>
    </row>
    <row r="267" spans="2:4" ht="57.95">
      <c r="C267" s="192" t="s">
        <v>1841</v>
      </c>
      <c r="D267" s="116" t="s">
        <v>1842</v>
      </c>
    </row>
    <row r="268" spans="2:4" ht="57.95">
      <c r="C268" s="192" t="s">
        <v>1843</v>
      </c>
      <c r="D268" s="116" t="s">
        <v>1844</v>
      </c>
    </row>
    <row r="269" spans="2:4" ht="87">
      <c r="B269" s="28" t="s">
        <v>1845</v>
      </c>
      <c r="C269" s="192" t="s">
        <v>1846</v>
      </c>
      <c r="D269" s="116" t="s">
        <v>1847</v>
      </c>
    </row>
    <row r="270" spans="2:4" ht="87">
      <c r="C270" s="192" t="s">
        <v>1848</v>
      </c>
      <c r="D270" s="116" t="s">
        <v>1849</v>
      </c>
    </row>
    <row r="271" spans="2:4" ht="87">
      <c r="C271" s="192" t="s">
        <v>1850</v>
      </c>
      <c r="D271" s="116" t="s">
        <v>1851</v>
      </c>
    </row>
    <row r="272" spans="2:4" ht="57.95">
      <c r="C272" s="192" t="s">
        <v>1852</v>
      </c>
      <c r="D272" s="116" t="s">
        <v>1853</v>
      </c>
    </row>
    <row r="273" spans="3:4" ht="57.95">
      <c r="C273" s="192" t="s">
        <v>1854</v>
      </c>
      <c r="D273" s="116" t="s">
        <v>1855</v>
      </c>
    </row>
    <row r="274" spans="3:4" ht="57.95">
      <c r="C274" s="192" t="s">
        <v>1856</v>
      </c>
      <c r="D274" s="116" t="s">
        <v>1857</v>
      </c>
    </row>
    <row r="275" spans="3:4" ht="57.95">
      <c r="C275" s="192" t="s">
        <v>1858</v>
      </c>
      <c r="D275" s="116" t="s">
        <v>1859</v>
      </c>
    </row>
    <row r="276" spans="3:4" ht="57.95">
      <c r="C276" s="192" t="s">
        <v>1860</v>
      </c>
      <c r="D276" s="116" t="s">
        <v>1861</v>
      </c>
    </row>
    <row r="277" spans="3:4" ht="57.95">
      <c r="C277" s="192" t="s">
        <v>1862</v>
      </c>
      <c r="D277" s="116" t="s">
        <v>1863</v>
      </c>
    </row>
    <row r="278" spans="3:4" ht="101.45">
      <c r="C278" s="192" t="s">
        <v>1864</v>
      </c>
      <c r="D278" s="116" t="s">
        <v>1865</v>
      </c>
    </row>
    <row r="279" spans="3:4" ht="87">
      <c r="C279" s="192" t="s">
        <v>1866</v>
      </c>
      <c r="D279" s="116" t="s">
        <v>1867</v>
      </c>
    </row>
    <row r="280" spans="3:4" ht="57.95">
      <c r="C280" s="192" t="s">
        <v>1868</v>
      </c>
      <c r="D280" s="116" t="s">
        <v>1869</v>
      </c>
    </row>
    <row r="281" spans="3:4" ht="87">
      <c r="C281" s="192" t="s">
        <v>1870</v>
      </c>
      <c r="D281" s="116" t="s">
        <v>1871</v>
      </c>
    </row>
    <row r="282" spans="3:4" ht="57.95">
      <c r="C282" s="192" t="s">
        <v>1872</v>
      </c>
      <c r="D282" s="116" t="s">
        <v>1873</v>
      </c>
    </row>
    <row r="283" spans="3:4" ht="57.95">
      <c r="C283" s="192" t="s">
        <v>1874</v>
      </c>
      <c r="D283" s="116" t="s">
        <v>1875</v>
      </c>
    </row>
    <row r="284" spans="3:4" ht="101.45">
      <c r="C284" s="192" t="s">
        <v>1876</v>
      </c>
      <c r="D284" s="116" t="s">
        <v>1877</v>
      </c>
    </row>
    <row r="285" spans="3:4" ht="57.95">
      <c r="C285" s="192" t="s">
        <v>1878</v>
      </c>
      <c r="D285" s="116" t="s">
        <v>1879</v>
      </c>
    </row>
    <row r="286" spans="3:4" ht="57.95">
      <c r="C286" s="192" t="s">
        <v>1880</v>
      </c>
      <c r="D286" s="116" t="s">
        <v>1881</v>
      </c>
    </row>
    <row r="287" spans="3:4" ht="57.95">
      <c r="C287" s="192" t="s">
        <v>1882</v>
      </c>
      <c r="D287" s="116" t="s">
        <v>1883</v>
      </c>
    </row>
    <row r="288" spans="3:4" ht="72.599999999999994">
      <c r="C288" s="192" t="s">
        <v>1884</v>
      </c>
      <c r="D288" s="116" t="s">
        <v>1885</v>
      </c>
    </row>
    <row r="289" spans="2:4" ht="72.599999999999994">
      <c r="B289" s="28" t="s">
        <v>1886</v>
      </c>
      <c r="C289" s="192" t="s">
        <v>1887</v>
      </c>
      <c r="D289" s="116" t="s">
        <v>1888</v>
      </c>
    </row>
    <row r="290" spans="2:4" ht="87">
      <c r="C290" s="192" t="s">
        <v>1889</v>
      </c>
      <c r="D290" s="116" t="s">
        <v>1890</v>
      </c>
    </row>
    <row r="291" spans="2:4" ht="57.95">
      <c r="C291" s="192" t="s">
        <v>1891</v>
      </c>
      <c r="D291" s="116" t="s">
        <v>1892</v>
      </c>
    </row>
    <row r="292" spans="2:4" ht="57.95">
      <c r="C292" s="192" t="s">
        <v>1893</v>
      </c>
      <c r="D292" s="116" t="s">
        <v>1894</v>
      </c>
    </row>
    <row r="293" spans="2:4" ht="57.95">
      <c r="C293" s="192" t="s">
        <v>1895</v>
      </c>
      <c r="D293" s="116" t="s">
        <v>1896</v>
      </c>
    </row>
    <row r="294" spans="2:4" ht="87">
      <c r="C294" s="192" t="s">
        <v>1897</v>
      </c>
      <c r="D294" s="116" t="s">
        <v>1898</v>
      </c>
    </row>
    <row r="295" spans="2:4" ht="87">
      <c r="B295" s="7" t="s">
        <v>1899</v>
      </c>
      <c r="C295" s="192" t="s">
        <v>1900</v>
      </c>
      <c r="D295" s="116" t="s">
        <v>1901</v>
      </c>
    </row>
    <row r="296" spans="2:4" ht="57.95">
      <c r="C296" s="192" t="s">
        <v>1902</v>
      </c>
      <c r="D296" s="116" t="s">
        <v>1903</v>
      </c>
    </row>
    <row r="297" spans="2:4" ht="57.95">
      <c r="C297" s="192" t="s">
        <v>1904</v>
      </c>
      <c r="D297" s="116" t="s">
        <v>1905</v>
      </c>
    </row>
    <row r="298" spans="2:4" ht="101.45">
      <c r="C298" s="192" t="s">
        <v>1906</v>
      </c>
      <c r="D298" s="116" t="s">
        <v>1907</v>
      </c>
    </row>
    <row r="299" spans="2:4" ht="57.95">
      <c r="C299" s="192" t="s">
        <v>1908</v>
      </c>
      <c r="D299" s="116" t="s">
        <v>1909</v>
      </c>
    </row>
    <row r="300" spans="2:4" ht="72.599999999999994">
      <c r="C300" s="192" t="s">
        <v>1910</v>
      </c>
      <c r="D300" s="116" t="s">
        <v>1911</v>
      </c>
    </row>
    <row r="301" spans="2:4" ht="72.599999999999994">
      <c r="C301" s="192" t="s">
        <v>1912</v>
      </c>
      <c r="D301" s="116" t="s">
        <v>1913</v>
      </c>
    </row>
    <row r="302" spans="2:4" ht="72.599999999999994">
      <c r="C302" s="192" t="s">
        <v>1914</v>
      </c>
      <c r="D302" s="116" t="s">
        <v>1915</v>
      </c>
    </row>
    <row r="303" spans="2:4" ht="87">
      <c r="C303" s="192" t="s">
        <v>1916</v>
      </c>
      <c r="D303" s="116" t="s">
        <v>1917</v>
      </c>
    </row>
    <row r="304" spans="2:4" ht="87">
      <c r="C304" s="193" t="s">
        <v>1918</v>
      </c>
      <c r="D304" s="116" t="s">
        <v>1919</v>
      </c>
    </row>
    <row r="305" spans="3:4" ht="57.95">
      <c r="C305" s="193" t="s">
        <v>1920</v>
      </c>
      <c r="D305" s="116" t="s">
        <v>1921</v>
      </c>
    </row>
    <row r="306" spans="3:4" ht="72.599999999999994">
      <c r="C306" s="193" t="s">
        <v>1922</v>
      </c>
      <c r="D306" s="116" t="s">
        <v>1923</v>
      </c>
    </row>
    <row r="307" spans="3:4" ht="57.95">
      <c r="C307" s="193" t="s">
        <v>1924</v>
      </c>
      <c r="D307" s="116" t="s">
        <v>1925</v>
      </c>
    </row>
    <row r="308" spans="3:4" ht="87">
      <c r="C308" s="193" t="s">
        <v>1926</v>
      </c>
      <c r="D308" s="116" t="s">
        <v>1927</v>
      </c>
    </row>
    <row r="309" spans="3:4" ht="57.95">
      <c r="C309" s="193" t="s">
        <v>1928</v>
      </c>
      <c r="D309" s="116" t="s">
        <v>1929</v>
      </c>
    </row>
    <row r="310" spans="3:4" ht="57.95">
      <c r="C310" s="193" t="s">
        <v>1930</v>
      </c>
      <c r="D310" s="116" t="s">
        <v>1931</v>
      </c>
    </row>
    <row r="311" spans="3:4" ht="57.95">
      <c r="C311" s="193" t="s">
        <v>1932</v>
      </c>
      <c r="D311" s="116" t="s">
        <v>1933</v>
      </c>
    </row>
    <row r="312" spans="3:4" ht="57.95">
      <c r="C312" s="193" t="s">
        <v>1934</v>
      </c>
      <c r="D312" s="116" t="s">
        <v>1935</v>
      </c>
    </row>
    <row r="313" spans="3:4" ht="57.95">
      <c r="C313" s="193" t="s">
        <v>1936</v>
      </c>
      <c r="D313" s="116" t="s">
        <v>1937</v>
      </c>
    </row>
    <row r="314" spans="3:4" ht="87">
      <c r="C314" s="226" t="s">
        <v>1938</v>
      </c>
      <c r="D314" s="123" t="s">
        <v>1118</v>
      </c>
    </row>
    <row r="315" spans="3:4" ht="87">
      <c r="C315" s="226" t="s">
        <v>1939</v>
      </c>
      <c r="D315" s="263" t="s">
        <v>1940</v>
      </c>
    </row>
    <row r="316" spans="3:4" ht="57.95">
      <c r="C316" s="227" t="s">
        <v>1941</v>
      </c>
      <c r="D316" s="116" t="s">
        <v>1942</v>
      </c>
    </row>
    <row r="317" spans="3:4" ht="77.25" customHeight="1">
      <c r="C317" s="227" t="s">
        <v>1943</v>
      </c>
      <c r="D317" s="116" t="s">
        <v>1944</v>
      </c>
    </row>
    <row r="318" spans="3:4" ht="72.599999999999994">
      <c r="C318" s="192" t="s">
        <v>1945</v>
      </c>
      <c r="D318" s="252" t="s">
        <v>1946</v>
      </c>
    </row>
    <row r="319" spans="3:4" ht="57.95">
      <c r="C319" s="192" t="s">
        <v>1947</v>
      </c>
      <c r="D319" s="116" t="s">
        <v>1948</v>
      </c>
    </row>
    <row r="320" spans="3:4" ht="87">
      <c r="C320" s="192" t="s">
        <v>1949</v>
      </c>
      <c r="D320" s="116" t="s">
        <v>1950</v>
      </c>
    </row>
    <row r="321" spans="2:4" ht="57.95">
      <c r="C321" s="192" t="s">
        <v>1951</v>
      </c>
      <c r="D321" s="116" t="s">
        <v>1952</v>
      </c>
    </row>
    <row r="322" spans="2:4" ht="57.95">
      <c r="C322" s="192" t="s">
        <v>1953</v>
      </c>
      <c r="D322" s="116" t="s">
        <v>1954</v>
      </c>
    </row>
    <row r="323" spans="2:4" ht="72.599999999999994">
      <c r="C323" s="192" t="s">
        <v>1955</v>
      </c>
      <c r="D323" s="116" t="s">
        <v>1956</v>
      </c>
    </row>
    <row r="324" spans="2:4" ht="72.599999999999994">
      <c r="C324" s="192" t="s">
        <v>1957</v>
      </c>
      <c r="D324" s="116" t="s">
        <v>1958</v>
      </c>
    </row>
    <row r="325" spans="2:4" ht="57.95">
      <c r="C325" s="193" t="s">
        <v>1959</v>
      </c>
      <c r="D325" s="116" t="s">
        <v>1960</v>
      </c>
    </row>
    <row r="326" spans="2:4" ht="57.95">
      <c r="C326" s="193" t="s">
        <v>1961</v>
      </c>
      <c r="D326" s="116" t="s">
        <v>1962</v>
      </c>
    </row>
    <row r="327" spans="2:4" ht="57.95">
      <c r="C327" s="193" t="s">
        <v>1963</v>
      </c>
      <c r="D327" s="116" t="s">
        <v>1964</v>
      </c>
    </row>
    <row r="328" spans="2:4" ht="57.95">
      <c r="B328" s="7" t="s">
        <v>1965</v>
      </c>
      <c r="C328" s="193" t="s">
        <v>1966</v>
      </c>
      <c r="D328" s="116" t="s">
        <v>1967</v>
      </c>
    </row>
    <row r="329" spans="2:4" ht="57.95">
      <c r="B329" s="7" t="s">
        <v>1965</v>
      </c>
      <c r="C329" s="193" t="s">
        <v>1968</v>
      </c>
      <c r="D329" s="116" t="s">
        <v>1969</v>
      </c>
    </row>
    <row r="330" spans="2:4" ht="57.95">
      <c r="B330" s="7" t="s">
        <v>1965</v>
      </c>
      <c r="C330" s="193" t="s">
        <v>1970</v>
      </c>
      <c r="D330" s="116" t="s">
        <v>1971</v>
      </c>
    </row>
    <row r="331" spans="2:4" ht="57.95">
      <c r="C331" s="193" t="s">
        <v>1972</v>
      </c>
      <c r="D331" s="116" t="s">
        <v>1973</v>
      </c>
    </row>
    <row r="332" spans="2:4" ht="57.95">
      <c r="C332" s="192" t="s">
        <v>1974</v>
      </c>
      <c r="D332" s="116" t="s">
        <v>1975</v>
      </c>
    </row>
    <row r="333" spans="2:4" ht="57.95">
      <c r="C333" s="193" t="s">
        <v>1976</v>
      </c>
      <c r="D333" s="116" t="s">
        <v>1977</v>
      </c>
    </row>
    <row r="334" spans="2:4" ht="87">
      <c r="C334" s="193" t="s">
        <v>1978</v>
      </c>
      <c r="D334" s="116" t="s">
        <v>1979</v>
      </c>
    </row>
    <row r="335" spans="2:4" ht="87">
      <c r="C335" s="193" t="s">
        <v>1980</v>
      </c>
      <c r="D335" s="116" t="s">
        <v>1981</v>
      </c>
    </row>
    <row r="336" spans="2:4" ht="57.95">
      <c r="C336" s="193" t="s">
        <v>1982</v>
      </c>
      <c r="D336" s="261" t="s">
        <v>1983</v>
      </c>
    </row>
    <row r="337" spans="2:4" ht="87">
      <c r="C337" s="227" t="s">
        <v>1984</v>
      </c>
      <c r="D337" s="261" t="s">
        <v>1985</v>
      </c>
    </row>
    <row r="338" spans="2:4" ht="57.95">
      <c r="C338" s="227" t="s">
        <v>1986</v>
      </c>
      <c r="D338" s="116" t="s">
        <v>1987</v>
      </c>
    </row>
    <row r="339" spans="2:4" ht="87">
      <c r="C339" s="227" t="s">
        <v>1988</v>
      </c>
      <c r="D339" s="116" t="s">
        <v>1989</v>
      </c>
    </row>
    <row r="340" spans="2:4" ht="87">
      <c r="B340" s="28" t="s">
        <v>1990</v>
      </c>
      <c r="C340" s="227" t="s">
        <v>1991</v>
      </c>
      <c r="D340" s="116" t="s">
        <v>1992</v>
      </c>
    </row>
    <row r="341" spans="2:4" ht="57.95">
      <c r="C341" s="227" t="s">
        <v>1993</v>
      </c>
      <c r="D341" s="116" t="s">
        <v>1994</v>
      </c>
    </row>
    <row r="342" spans="2:4" ht="57.95">
      <c r="C342" s="227" t="s">
        <v>1995</v>
      </c>
      <c r="D342" s="116" t="s">
        <v>1996</v>
      </c>
    </row>
    <row r="343" spans="2:4" ht="87">
      <c r="C343" s="193" t="s">
        <v>1997</v>
      </c>
      <c r="D343" s="116" t="s">
        <v>1998</v>
      </c>
    </row>
    <row r="344" spans="2:4" ht="57.95">
      <c r="C344" s="193" t="s">
        <v>1999</v>
      </c>
      <c r="D344" s="116" t="s">
        <v>2000</v>
      </c>
    </row>
    <row r="345" spans="2:4" ht="57.95">
      <c r="C345" s="193" t="s">
        <v>2001</v>
      </c>
      <c r="D345" s="261" t="s">
        <v>2002</v>
      </c>
    </row>
    <row r="346" spans="2:4" ht="87">
      <c r="C346" s="227" t="s">
        <v>2003</v>
      </c>
      <c r="D346" s="261" t="s">
        <v>2004</v>
      </c>
    </row>
    <row r="347" spans="2:4" ht="101.45">
      <c r="C347" s="227" t="s">
        <v>2005</v>
      </c>
      <c r="D347" s="116" t="s">
        <v>2006</v>
      </c>
    </row>
    <row r="348" spans="2:4" ht="57.95">
      <c r="C348" s="227" t="s">
        <v>2007</v>
      </c>
      <c r="D348" s="116" t="s">
        <v>2008</v>
      </c>
    </row>
    <row r="349" spans="2:4" ht="57.95">
      <c r="B349" s="28" t="s">
        <v>2009</v>
      </c>
      <c r="C349" s="240" t="s">
        <v>2010</v>
      </c>
      <c r="D349" s="116" t="s">
        <v>2011</v>
      </c>
    </row>
    <row r="350" spans="2:4" ht="57.95">
      <c r="B350" s="28" t="s">
        <v>2009</v>
      </c>
      <c r="C350" s="240" t="s">
        <v>2012</v>
      </c>
      <c r="D350" s="116" t="s">
        <v>2013</v>
      </c>
    </row>
    <row r="351" spans="2:4" ht="57.95">
      <c r="B351" s="28" t="s">
        <v>2014</v>
      </c>
      <c r="C351" s="239" t="s">
        <v>2015</v>
      </c>
      <c r="D351" s="116" t="s">
        <v>2016</v>
      </c>
    </row>
    <row r="352" spans="2:4" ht="57.95">
      <c r="B352" s="28" t="s">
        <v>2014</v>
      </c>
      <c r="C352" s="239" t="s">
        <v>2017</v>
      </c>
      <c r="D352" s="116" t="s">
        <v>2018</v>
      </c>
    </row>
    <row r="353" spans="2:4" ht="57.95">
      <c r="B353" s="28" t="s">
        <v>2019</v>
      </c>
      <c r="C353" s="240" t="s">
        <v>2020</v>
      </c>
      <c r="D353" s="116" t="s">
        <v>2021</v>
      </c>
    </row>
    <row r="354" spans="2:4" ht="57.95">
      <c r="B354" s="28" t="s">
        <v>2019</v>
      </c>
      <c r="C354" s="240" t="s">
        <v>2022</v>
      </c>
      <c r="D354" s="116" t="s">
        <v>2023</v>
      </c>
    </row>
    <row r="355" spans="2:4" ht="57.95">
      <c r="B355" s="28" t="s">
        <v>2024</v>
      </c>
      <c r="C355" s="239" t="s">
        <v>2025</v>
      </c>
      <c r="D355" s="116" t="s">
        <v>2026</v>
      </c>
    </row>
    <row r="356" spans="2:4" ht="57.95">
      <c r="B356" s="28" t="s">
        <v>2024</v>
      </c>
      <c r="C356" s="239" t="s">
        <v>2027</v>
      </c>
      <c r="D356" s="261" t="s">
        <v>2028</v>
      </c>
    </row>
    <row r="357" spans="2:4" ht="87">
      <c r="B357" s="28" t="s">
        <v>2024</v>
      </c>
      <c r="C357" s="239" t="s">
        <v>2029</v>
      </c>
      <c r="D357" s="116" t="s">
        <v>2030</v>
      </c>
    </row>
    <row r="358" spans="2:4" ht="57.95">
      <c r="B358" s="28" t="s">
        <v>2031</v>
      </c>
      <c r="C358" s="240" t="s">
        <v>2032</v>
      </c>
      <c r="D358" s="116" t="s">
        <v>2033</v>
      </c>
    </row>
    <row r="359" spans="2:4" ht="57.95">
      <c r="B359" s="28" t="s">
        <v>2031</v>
      </c>
      <c r="C359" s="240" t="s">
        <v>2034</v>
      </c>
      <c r="D359" s="116" t="s">
        <v>2035</v>
      </c>
    </row>
    <row r="360" spans="2:4" ht="87">
      <c r="B360" s="28" t="s">
        <v>2031</v>
      </c>
      <c r="C360" s="240" t="s">
        <v>2036</v>
      </c>
      <c r="D360" s="116" t="s">
        <v>2037</v>
      </c>
    </row>
    <row r="361" spans="2:4" ht="72.599999999999994">
      <c r="B361" s="28" t="s">
        <v>2038</v>
      </c>
      <c r="C361" s="239" t="s">
        <v>2039</v>
      </c>
      <c r="D361" s="116" t="s">
        <v>2040</v>
      </c>
    </row>
    <row r="362" spans="2:4" ht="57.95">
      <c r="B362" s="28" t="s">
        <v>2038</v>
      </c>
      <c r="C362" s="239" t="s">
        <v>2041</v>
      </c>
      <c r="D362" s="116" t="s">
        <v>2042</v>
      </c>
    </row>
    <row r="363" spans="2:4" ht="57.95">
      <c r="B363" s="28" t="s">
        <v>2038</v>
      </c>
      <c r="C363" s="239" t="s">
        <v>2043</v>
      </c>
      <c r="D363" s="116" t="s">
        <v>2044</v>
      </c>
    </row>
    <row r="364" spans="2:4" ht="57.95">
      <c r="B364" s="28" t="s">
        <v>2045</v>
      </c>
      <c r="C364" s="240" t="s">
        <v>2046</v>
      </c>
      <c r="D364" s="116" t="s">
        <v>2047</v>
      </c>
    </row>
    <row r="365" spans="2:4" ht="57.95">
      <c r="B365" s="28" t="s">
        <v>2048</v>
      </c>
      <c r="C365" s="239" t="s">
        <v>2049</v>
      </c>
      <c r="D365" s="116" t="s">
        <v>2050</v>
      </c>
    </row>
    <row r="366" spans="2:4" ht="57.95">
      <c r="B366" s="28" t="s">
        <v>2048</v>
      </c>
      <c r="C366" s="239" t="s">
        <v>2051</v>
      </c>
      <c r="D366" s="116" t="s">
        <v>2052</v>
      </c>
    </row>
    <row r="367" spans="2:4" ht="57.95">
      <c r="B367" s="28" t="s">
        <v>2053</v>
      </c>
      <c r="C367" s="240" t="s">
        <v>2054</v>
      </c>
      <c r="D367" s="116" t="s">
        <v>2055</v>
      </c>
    </row>
    <row r="368" spans="2:4" ht="57.95">
      <c r="B368" s="28" t="s">
        <v>2053</v>
      </c>
      <c r="C368" s="240" t="s">
        <v>2056</v>
      </c>
      <c r="D368" s="116" t="s">
        <v>2057</v>
      </c>
    </row>
    <row r="369" spans="2:4" ht="87">
      <c r="B369" s="28" t="s">
        <v>2053</v>
      </c>
      <c r="C369" s="240" t="s">
        <v>2058</v>
      </c>
      <c r="D369" s="116" t="s">
        <v>2059</v>
      </c>
    </row>
    <row r="370" spans="2:4" ht="57.95">
      <c r="B370" s="28" t="s">
        <v>2060</v>
      </c>
      <c r="C370" s="239" t="s">
        <v>2061</v>
      </c>
      <c r="D370" s="116" t="s">
        <v>2062</v>
      </c>
    </row>
    <row r="371" spans="2:4" ht="101.45">
      <c r="B371" s="28" t="s">
        <v>2060</v>
      </c>
      <c r="C371" s="239" t="s">
        <v>2063</v>
      </c>
      <c r="D371" s="116" t="s">
        <v>2064</v>
      </c>
    </row>
    <row r="372" spans="2:4" ht="57.95">
      <c r="B372" s="28" t="s">
        <v>2065</v>
      </c>
      <c r="C372" s="240" t="s">
        <v>2066</v>
      </c>
      <c r="D372" s="116" t="s">
        <v>2067</v>
      </c>
    </row>
    <row r="373" spans="2:4" ht="57.95">
      <c r="B373" s="28" t="s">
        <v>2065</v>
      </c>
      <c r="C373" s="240" t="s">
        <v>2068</v>
      </c>
      <c r="D373" s="116" t="s">
        <v>2069</v>
      </c>
    </row>
    <row r="374" spans="2:4" ht="101.45">
      <c r="B374" s="28" t="s">
        <v>2065</v>
      </c>
      <c r="C374" s="240" t="s">
        <v>2070</v>
      </c>
      <c r="D374" s="116" t="s">
        <v>1237</v>
      </c>
    </row>
    <row r="375" spans="2:4" ht="57.95">
      <c r="B375" s="7" t="s">
        <v>2071</v>
      </c>
      <c r="C375" s="248" t="s">
        <v>2072</v>
      </c>
      <c r="D375" s="116" t="s">
        <v>2073</v>
      </c>
    </row>
    <row r="376" spans="2:4" ht="101.45">
      <c r="B376" s="7" t="s">
        <v>2071</v>
      </c>
      <c r="C376" s="248" t="s">
        <v>2074</v>
      </c>
      <c r="D376" s="116" t="s">
        <v>2075</v>
      </c>
    </row>
    <row r="377" spans="2:4" ht="87">
      <c r="B377" s="265" t="s">
        <v>2076</v>
      </c>
      <c r="C377" s="248" t="s">
        <v>2077</v>
      </c>
      <c r="D377" s="116" t="s">
        <v>2078</v>
      </c>
    </row>
    <row r="378" spans="2:4" ht="87">
      <c r="B378" s="7" t="s">
        <v>2071</v>
      </c>
      <c r="C378" s="249" t="s">
        <v>2079</v>
      </c>
      <c r="D378" s="261" t="s">
        <v>2080</v>
      </c>
    </row>
    <row r="379" spans="2:4" ht="101.45">
      <c r="B379" s="7" t="s">
        <v>2071</v>
      </c>
      <c r="C379" s="248" t="s">
        <v>2081</v>
      </c>
      <c r="D379" s="251" t="s">
        <v>2082</v>
      </c>
    </row>
    <row r="380" spans="2:4" ht="57.95">
      <c r="B380" s="7" t="s">
        <v>2071</v>
      </c>
      <c r="C380" s="250" t="s">
        <v>2083</v>
      </c>
      <c r="D380" s="252" t="s">
        <v>2084</v>
      </c>
    </row>
    <row r="381" spans="2:4" ht="57.95">
      <c r="B381" s="28" t="s">
        <v>2085</v>
      </c>
      <c r="C381" s="239" t="s">
        <v>2086</v>
      </c>
      <c r="D381" s="116" t="s">
        <v>2087</v>
      </c>
    </row>
    <row r="382" spans="2:4" ht="57.95">
      <c r="B382" s="28" t="s">
        <v>2085</v>
      </c>
      <c r="C382" s="239" t="s">
        <v>2088</v>
      </c>
      <c r="D382" s="116" t="s">
        <v>2089</v>
      </c>
    </row>
    <row r="383" spans="2:4" ht="57.95">
      <c r="B383" s="28" t="s">
        <v>2085</v>
      </c>
      <c r="C383" s="239" t="s">
        <v>2090</v>
      </c>
      <c r="D383" s="116" t="s">
        <v>2091</v>
      </c>
    </row>
    <row r="384" spans="2:4" ht="72.599999999999994">
      <c r="B384" s="7" t="s">
        <v>2092</v>
      </c>
      <c r="C384" s="250" t="s">
        <v>2093</v>
      </c>
      <c r="D384" s="252" t="s">
        <v>2094</v>
      </c>
    </row>
    <row r="385" spans="1:4" ht="87">
      <c r="A385" s="28"/>
      <c r="B385" s="7" t="s">
        <v>2092</v>
      </c>
      <c r="C385" s="250" t="s">
        <v>2095</v>
      </c>
      <c r="D385" s="116" t="s">
        <v>2096</v>
      </c>
    </row>
    <row r="386" spans="1:4" ht="87">
      <c r="A386" s="28" t="s">
        <v>1769</v>
      </c>
      <c r="B386" s="7" t="s">
        <v>2092</v>
      </c>
      <c r="C386" s="250" t="s">
        <v>2097</v>
      </c>
      <c r="D386" s="116" t="s">
        <v>2098</v>
      </c>
    </row>
    <row r="387" spans="1:4" ht="57.95">
      <c r="B387" s="28" t="s">
        <v>2099</v>
      </c>
      <c r="C387" s="240" t="s">
        <v>2100</v>
      </c>
      <c r="D387" s="116" t="s">
        <v>2101</v>
      </c>
    </row>
    <row r="388" spans="1:4" ht="57.95">
      <c r="B388" s="28" t="s">
        <v>2099</v>
      </c>
      <c r="C388" s="240" t="s">
        <v>2102</v>
      </c>
      <c r="D388" s="116" t="s">
        <v>2103</v>
      </c>
    </row>
    <row r="389" spans="1:4" ht="101.45">
      <c r="A389" s="7"/>
      <c r="B389" s="28" t="s">
        <v>2104</v>
      </c>
      <c r="C389" s="239" t="s">
        <v>2105</v>
      </c>
      <c r="D389" s="116" t="s">
        <v>2106</v>
      </c>
    </row>
    <row r="390" spans="1:4" ht="57.95">
      <c r="B390" s="28" t="s">
        <v>2107</v>
      </c>
      <c r="C390" s="239" t="s">
        <v>2108</v>
      </c>
      <c r="D390" s="116" t="s">
        <v>2109</v>
      </c>
    </row>
    <row r="391" spans="1:4" ht="57.95">
      <c r="B391" s="28" t="s">
        <v>2107</v>
      </c>
      <c r="C391" s="239" t="s">
        <v>2110</v>
      </c>
      <c r="D391" s="116" t="s">
        <v>2111</v>
      </c>
    </row>
    <row r="392" spans="1:4" ht="57.95">
      <c r="A392" s="28" t="s">
        <v>2112</v>
      </c>
      <c r="B392" s="28" t="s">
        <v>2107</v>
      </c>
      <c r="C392" s="239" t="s">
        <v>2113</v>
      </c>
      <c r="D392" s="116" t="s">
        <v>2114</v>
      </c>
    </row>
    <row r="393" spans="1:4" ht="57.95">
      <c r="A393" s="28"/>
      <c r="B393" s="28" t="s">
        <v>2115</v>
      </c>
      <c r="C393" s="240" t="s">
        <v>2116</v>
      </c>
      <c r="D393" s="116" t="s">
        <v>2117</v>
      </c>
    </row>
    <row r="394" spans="1:4" ht="57.95">
      <c r="B394" s="28" t="s">
        <v>2115</v>
      </c>
      <c r="C394" s="240" t="s">
        <v>2118</v>
      </c>
      <c r="D394" s="116" t="s">
        <v>2119</v>
      </c>
    </row>
    <row r="395" spans="1:4" ht="57.95">
      <c r="B395" s="28" t="s">
        <v>2115</v>
      </c>
      <c r="C395" s="240" t="s">
        <v>2120</v>
      </c>
      <c r="D395" s="116" t="s">
        <v>2121</v>
      </c>
    </row>
    <row r="396" spans="1:4" ht="101.45">
      <c r="B396" s="28" t="s">
        <v>2115</v>
      </c>
      <c r="C396" s="264" t="s">
        <v>2122</v>
      </c>
      <c r="D396" s="116" t="s">
        <v>2123</v>
      </c>
    </row>
    <row r="397" spans="1:4" ht="72.599999999999994">
      <c r="B397" s="28" t="s">
        <v>2124</v>
      </c>
      <c r="C397" s="250" t="s">
        <v>2125</v>
      </c>
      <c r="D397" s="252" t="s">
        <v>2126</v>
      </c>
    </row>
    <row r="398" spans="1:4" ht="87">
      <c r="B398" s="28" t="s">
        <v>2124</v>
      </c>
      <c r="C398" s="250" t="s">
        <v>2127</v>
      </c>
      <c r="D398" s="252" t="s">
        <v>2128</v>
      </c>
    </row>
    <row r="399" spans="1:4" ht="57.95">
      <c r="B399" s="28" t="s">
        <v>2124</v>
      </c>
      <c r="C399" s="250" t="s">
        <v>2129</v>
      </c>
      <c r="D399" s="116" t="s">
        <v>2130</v>
      </c>
    </row>
    <row r="400" spans="1:4" ht="72.599999999999994">
      <c r="B400" s="28" t="s">
        <v>2124</v>
      </c>
      <c r="C400" s="250" t="s">
        <v>2131</v>
      </c>
      <c r="D400" s="252" t="s">
        <v>2132</v>
      </c>
    </row>
    <row r="401" spans="1:4" ht="72.599999999999994">
      <c r="A401" s="28" t="s">
        <v>1769</v>
      </c>
      <c r="B401" s="28" t="s">
        <v>2124</v>
      </c>
      <c r="C401" s="250" t="s">
        <v>2133</v>
      </c>
      <c r="D401" s="252" t="s">
        <v>2134</v>
      </c>
    </row>
    <row r="402" spans="1:4" ht="87">
      <c r="B402" s="28" t="s">
        <v>2124</v>
      </c>
      <c r="C402" s="250" t="s">
        <v>2135</v>
      </c>
      <c r="D402" s="252" t="s">
        <v>2136</v>
      </c>
    </row>
    <row r="403" spans="1:4" ht="57.95">
      <c r="B403" s="28" t="s">
        <v>2137</v>
      </c>
      <c r="C403" s="239" t="s">
        <v>2138</v>
      </c>
      <c r="D403" s="116" t="s">
        <v>2139</v>
      </c>
    </row>
    <row r="404" spans="1:4" ht="57.95">
      <c r="B404" s="28" t="s">
        <v>2137</v>
      </c>
      <c r="C404" s="239" t="s">
        <v>2140</v>
      </c>
      <c r="D404" s="116" t="s">
        <v>2141</v>
      </c>
    </row>
    <row r="405" spans="1:4" ht="87">
      <c r="B405" s="28" t="s">
        <v>2137</v>
      </c>
      <c r="C405" s="239" t="s">
        <v>2142</v>
      </c>
      <c r="D405" s="252" t="s">
        <v>1258</v>
      </c>
    </row>
    <row r="406" spans="1:4" ht="57.95">
      <c r="B406" s="28" t="s">
        <v>2137</v>
      </c>
      <c r="C406" s="239" t="s">
        <v>2143</v>
      </c>
      <c r="D406" s="116" t="s">
        <v>2144</v>
      </c>
    </row>
    <row r="407" spans="1:4" ht="57.95">
      <c r="B407" s="28" t="s">
        <v>2145</v>
      </c>
      <c r="C407" s="240" t="s">
        <v>2146</v>
      </c>
      <c r="D407" s="116" t="s">
        <v>2147</v>
      </c>
    </row>
    <row r="408" spans="1:4" ht="57.95">
      <c r="B408" s="28" t="s">
        <v>2145</v>
      </c>
      <c r="C408" s="240" t="s">
        <v>2148</v>
      </c>
      <c r="D408" s="116" t="s">
        <v>2149</v>
      </c>
    </row>
    <row r="409" spans="1:4" ht="101.45">
      <c r="B409" s="28" t="s">
        <v>2145</v>
      </c>
      <c r="C409" s="240" t="s">
        <v>2150</v>
      </c>
      <c r="D409" s="116" t="s">
        <v>2151</v>
      </c>
    </row>
    <row r="410" spans="1:4" ht="57.95">
      <c r="B410" s="28" t="s">
        <v>2152</v>
      </c>
      <c r="C410" s="239" t="s">
        <v>2153</v>
      </c>
      <c r="D410" s="116" t="s">
        <v>2154</v>
      </c>
    </row>
    <row r="411" spans="1:4" ht="57.95">
      <c r="B411" s="28" t="s">
        <v>2152</v>
      </c>
      <c r="C411" s="239" t="s">
        <v>2155</v>
      </c>
      <c r="D411" s="116" t="s">
        <v>2156</v>
      </c>
    </row>
    <row r="412" spans="1:4" ht="87">
      <c r="B412" s="28" t="s">
        <v>2152</v>
      </c>
      <c r="C412" s="239" t="s">
        <v>2157</v>
      </c>
      <c r="D412" s="288" t="s">
        <v>2158</v>
      </c>
    </row>
    <row r="413" spans="1:4" ht="87">
      <c r="A413" s="7" t="s">
        <v>2159</v>
      </c>
      <c r="B413" s="28" t="s">
        <v>2152</v>
      </c>
      <c r="C413" s="239" t="s">
        <v>2160</v>
      </c>
      <c r="D413" s="288" t="s">
        <v>2161</v>
      </c>
    </row>
    <row r="414" spans="1:4" ht="60.75">
      <c r="B414" s="28" t="s">
        <v>2162</v>
      </c>
      <c r="C414" s="240" t="s">
        <v>2163</v>
      </c>
      <c r="D414" s="116" t="s">
        <v>2164</v>
      </c>
    </row>
    <row r="415" spans="1:4" ht="57.95">
      <c r="B415" s="28" t="s">
        <v>2162</v>
      </c>
      <c r="C415" s="240" t="s">
        <v>2165</v>
      </c>
      <c r="D415" s="116" t="s">
        <v>2166</v>
      </c>
    </row>
    <row r="416" spans="1:4" ht="60.75">
      <c r="B416" s="28" t="s">
        <v>2162</v>
      </c>
      <c r="C416" s="240" t="s">
        <v>2167</v>
      </c>
      <c r="D416" s="116" t="s">
        <v>2168</v>
      </c>
    </row>
    <row r="417" spans="1:4" ht="91.5">
      <c r="B417" s="28" t="s">
        <v>2162</v>
      </c>
      <c r="C417" s="240" t="s">
        <v>2169</v>
      </c>
      <c r="D417" s="288" t="s">
        <v>2170</v>
      </c>
    </row>
    <row r="418" spans="1:4" ht="60.75">
      <c r="A418" s="28" t="s">
        <v>2171</v>
      </c>
      <c r="B418" s="28" t="s">
        <v>2172</v>
      </c>
      <c r="C418" s="239" t="s">
        <v>2173</v>
      </c>
      <c r="D418" s="116" t="s">
        <v>2174</v>
      </c>
    </row>
    <row r="419" spans="1:4" ht="60.75">
      <c r="B419" s="28" t="s">
        <v>2172</v>
      </c>
      <c r="C419" s="239" t="s">
        <v>2175</v>
      </c>
      <c r="D419" s="116" t="s">
        <v>2176</v>
      </c>
    </row>
    <row r="420" spans="1:4" ht="87">
      <c r="B420" s="28" t="s">
        <v>2172</v>
      </c>
      <c r="C420" s="239" t="s">
        <v>2177</v>
      </c>
      <c r="D420" s="116" t="s">
        <v>2178</v>
      </c>
    </row>
    <row r="421" spans="1:4" ht="60.75">
      <c r="B421" s="28" t="s">
        <v>2179</v>
      </c>
      <c r="C421" s="240" t="s">
        <v>2180</v>
      </c>
      <c r="D421" s="116" t="s">
        <v>2181</v>
      </c>
    </row>
    <row r="422" spans="1:4" ht="76.5">
      <c r="B422" s="28" t="s">
        <v>2179</v>
      </c>
      <c r="C422" s="240" t="s">
        <v>2182</v>
      </c>
      <c r="D422" s="116" t="s">
        <v>2183</v>
      </c>
    </row>
    <row r="423" spans="1:4" ht="60.75">
      <c r="B423" s="28" t="s">
        <v>2184</v>
      </c>
      <c r="C423" s="239" t="s">
        <v>2185</v>
      </c>
      <c r="D423" s="116" t="s">
        <v>2186</v>
      </c>
    </row>
    <row r="424" spans="1:4" ht="60.75">
      <c r="B424" s="28" t="s">
        <v>2184</v>
      </c>
      <c r="C424" s="239" t="s">
        <v>2187</v>
      </c>
      <c r="D424" s="116" t="s">
        <v>2188</v>
      </c>
    </row>
    <row r="425" spans="1:4" ht="76.5">
      <c r="A425" s="28" t="s">
        <v>1769</v>
      </c>
      <c r="B425" s="28" t="s">
        <v>2184</v>
      </c>
      <c r="C425" s="239" t="s">
        <v>2189</v>
      </c>
      <c r="D425" s="116" t="s">
        <v>2190</v>
      </c>
    </row>
    <row r="426" spans="1:4" ht="60.75">
      <c r="B426" s="28" t="s">
        <v>2191</v>
      </c>
      <c r="C426" s="240" t="s">
        <v>2192</v>
      </c>
      <c r="D426" s="116" t="s">
        <v>2193</v>
      </c>
    </row>
    <row r="427" spans="1:4" ht="60.75">
      <c r="B427" s="28" t="s">
        <v>2191</v>
      </c>
      <c r="C427" s="240" t="s">
        <v>2194</v>
      </c>
      <c r="D427" s="116" t="s">
        <v>2195</v>
      </c>
    </row>
    <row r="428" spans="1:4" ht="76.5">
      <c r="B428" s="28" t="s">
        <v>2196</v>
      </c>
      <c r="C428" s="227" t="s">
        <v>2197</v>
      </c>
      <c r="D428" s="116" t="s">
        <v>2198</v>
      </c>
    </row>
    <row r="429" spans="1:4" ht="76.5">
      <c r="A429" s="28" t="s">
        <v>2199</v>
      </c>
      <c r="B429" s="28" t="s">
        <v>2196</v>
      </c>
      <c r="C429" s="227" t="s">
        <v>2200</v>
      </c>
      <c r="D429" s="116" t="s">
        <v>2201</v>
      </c>
    </row>
    <row r="430" spans="1:4" ht="15"/>
  </sheetData>
  <dataValidations count="1">
    <dataValidation allowBlank="1" showInputMessage="1" showErrorMessage="1" sqref="D379" xr:uid="{239504E7-71BE-433D-86CD-893E3305F6D1}"/>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3139D-E01B-4004-AC09-AE7D8BA61BFA}">
  <dimension ref="A1:M22"/>
  <sheetViews>
    <sheetView topLeftCell="A4" workbookViewId="0">
      <selection activeCell="J10" sqref="J10"/>
    </sheetView>
  </sheetViews>
  <sheetFormatPr defaultColWidth="8.7109375" defaultRowHeight="15" customHeight="1"/>
  <cols>
    <col min="1" max="1" width="19.28515625" customWidth="1"/>
    <col min="2" max="2" width="19.7109375" customWidth="1"/>
    <col min="3" max="3" width="23" customWidth="1"/>
    <col min="4" max="4" width="25.42578125" customWidth="1"/>
    <col min="5" max="5" width="12.42578125" customWidth="1"/>
    <col min="6" max="6" width="22.28515625" customWidth="1"/>
    <col min="7" max="7" width="19.42578125" customWidth="1"/>
    <col min="8" max="8" width="27.42578125" customWidth="1"/>
    <col min="9" max="9" width="29.7109375" style="7" customWidth="1"/>
    <col min="10" max="10" width="70.7109375" style="7" customWidth="1"/>
    <col min="11" max="11" width="38" customWidth="1"/>
    <col min="12" max="12" width="46.7109375" customWidth="1"/>
    <col min="13" max="13" width="47" customWidth="1"/>
  </cols>
  <sheetData>
    <row r="1" spans="1:13" ht="15" customHeight="1">
      <c r="A1" s="178" t="s">
        <v>2202</v>
      </c>
    </row>
    <row r="2" spans="1:13" ht="34.5" customHeight="1">
      <c r="A2" s="183" t="s">
        <v>2203</v>
      </c>
      <c r="B2" s="183" t="s">
        <v>2204</v>
      </c>
      <c r="C2" s="183" t="s">
        <v>2205</v>
      </c>
      <c r="D2" s="183" t="s">
        <v>2206</v>
      </c>
      <c r="E2" s="183" t="s">
        <v>2207</v>
      </c>
      <c r="F2" s="183" t="s">
        <v>1330</v>
      </c>
      <c r="G2" s="184" t="s">
        <v>2208</v>
      </c>
      <c r="H2" s="183" t="s">
        <v>2209</v>
      </c>
      <c r="I2" s="184" t="s">
        <v>2210</v>
      </c>
      <c r="J2" s="185" t="s">
        <v>2211</v>
      </c>
      <c r="K2" s="185" t="s">
        <v>2212</v>
      </c>
      <c r="L2" s="185" t="s">
        <v>2213</v>
      </c>
      <c r="M2" s="185" t="s">
        <v>2214</v>
      </c>
    </row>
    <row r="3" spans="1:13" ht="138.75" customHeight="1">
      <c r="A3" s="179" t="s">
        <v>2215</v>
      </c>
      <c r="B3" s="180" t="s">
        <v>516</v>
      </c>
      <c r="C3" s="179" t="s">
        <v>37</v>
      </c>
      <c r="D3" s="179" t="s">
        <v>42</v>
      </c>
      <c r="E3" s="179" t="s">
        <v>2216</v>
      </c>
      <c r="F3" s="179" t="s">
        <v>2217</v>
      </c>
      <c r="G3" s="179" t="s">
        <v>47</v>
      </c>
      <c r="H3" s="179" t="s">
        <v>2218</v>
      </c>
      <c r="I3" s="144" t="s">
        <v>2219</v>
      </c>
      <c r="J3" s="245" t="s">
        <v>2220</v>
      </c>
      <c r="K3" s="182" t="s">
        <v>2221</v>
      </c>
      <c r="L3" s="9" t="s">
        <v>2221</v>
      </c>
      <c r="M3" s="9" t="s">
        <v>2221</v>
      </c>
    </row>
    <row r="4" spans="1:13" s="181" customFormat="1" ht="125.25" customHeight="1">
      <c r="A4" s="179" t="s">
        <v>2222</v>
      </c>
      <c r="B4" s="180" t="s">
        <v>578</v>
      </c>
      <c r="C4" s="179" t="s">
        <v>37</v>
      </c>
      <c r="D4" s="179" t="s">
        <v>42</v>
      </c>
      <c r="E4" s="179" t="s">
        <v>2216</v>
      </c>
      <c r="F4" s="179" t="s">
        <v>2217</v>
      </c>
      <c r="G4" s="179" t="s">
        <v>47</v>
      </c>
      <c r="H4" s="179" t="s">
        <v>2218</v>
      </c>
      <c r="I4" s="144" t="s">
        <v>2219</v>
      </c>
      <c r="J4" s="245" t="s">
        <v>2223</v>
      </c>
      <c r="K4" s="182" t="s">
        <v>2224</v>
      </c>
      <c r="L4" s="9" t="s">
        <v>2224</v>
      </c>
      <c r="M4" s="9" t="s">
        <v>2224</v>
      </c>
    </row>
    <row r="5" spans="1:13" s="181" customFormat="1" ht="105" customHeight="1">
      <c r="A5" s="179" t="s">
        <v>2225</v>
      </c>
      <c r="B5" s="180" t="s">
        <v>2226</v>
      </c>
      <c r="C5" s="179" t="s">
        <v>37</v>
      </c>
      <c r="D5" s="179" t="s">
        <v>42</v>
      </c>
      <c r="E5" s="179" t="s">
        <v>2216</v>
      </c>
      <c r="F5" s="179" t="s">
        <v>2217</v>
      </c>
      <c r="G5" s="179" t="s">
        <v>47</v>
      </c>
      <c r="H5" s="179" t="s">
        <v>2218</v>
      </c>
      <c r="I5" s="144" t="s">
        <v>2219</v>
      </c>
      <c r="J5" s="245" t="s">
        <v>2227</v>
      </c>
      <c r="K5" s="182" t="s">
        <v>2228</v>
      </c>
      <c r="L5" s="9" t="s">
        <v>2228</v>
      </c>
      <c r="M5" s="9" t="s">
        <v>2228</v>
      </c>
    </row>
    <row r="6" spans="1:13" ht="102.75" customHeight="1">
      <c r="A6" s="142" t="s">
        <v>2229</v>
      </c>
      <c r="B6" s="143" t="s">
        <v>2230</v>
      </c>
      <c r="C6" s="142" t="s">
        <v>37</v>
      </c>
      <c r="D6" s="142" t="s">
        <v>42</v>
      </c>
      <c r="E6" s="142" t="s">
        <v>2216</v>
      </c>
      <c r="F6" s="142" t="s">
        <v>2217</v>
      </c>
      <c r="G6" s="142" t="s">
        <v>47</v>
      </c>
      <c r="H6" s="142" t="s">
        <v>2218</v>
      </c>
      <c r="I6" s="186" t="s">
        <v>532</v>
      </c>
      <c r="J6" s="245" t="s">
        <v>2231</v>
      </c>
      <c r="K6" s="187" t="s">
        <v>2232</v>
      </c>
      <c r="L6" s="5" t="s">
        <v>2232</v>
      </c>
      <c r="M6" s="5" t="s">
        <v>2232</v>
      </c>
    </row>
    <row r="7" spans="1:13" ht="102.75" customHeight="1">
      <c r="A7" s="142" t="s">
        <v>2233</v>
      </c>
      <c r="B7" s="143" t="s">
        <v>475</v>
      </c>
      <c r="C7" s="142" t="s">
        <v>37</v>
      </c>
      <c r="D7" s="142" t="s">
        <v>42</v>
      </c>
      <c r="E7" s="142" t="s">
        <v>2216</v>
      </c>
      <c r="F7" s="142" t="s">
        <v>2217</v>
      </c>
      <c r="G7" s="142" t="s">
        <v>47</v>
      </c>
      <c r="H7" s="142" t="s">
        <v>2218</v>
      </c>
      <c r="I7" s="186" t="s">
        <v>532</v>
      </c>
      <c r="J7" s="245" t="s">
        <v>2234</v>
      </c>
      <c r="K7" s="187" t="s">
        <v>2235</v>
      </c>
      <c r="L7" s="5" t="s">
        <v>2235</v>
      </c>
      <c r="M7" s="5" t="s">
        <v>2235</v>
      </c>
    </row>
    <row r="8" spans="1:13" ht="104.25" customHeight="1">
      <c r="A8" s="142" t="s">
        <v>2236</v>
      </c>
      <c r="B8" s="143" t="s">
        <v>2237</v>
      </c>
      <c r="C8" s="142" t="s">
        <v>37</v>
      </c>
      <c r="D8" s="142" t="s">
        <v>42</v>
      </c>
      <c r="E8" s="142" t="s">
        <v>2216</v>
      </c>
      <c r="F8" s="142" t="s">
        <v>2217</v>
      </c>
      <c r="G8" s="142" t="s">
        <v>47</v>
      </c>
      <c r="H8" s="142" t="s">
        <v>2218</v>
      </c>
      <c r="I8" s="186" t="s">
        <v>532</v>
      </c>
      <c r="J8" s="26" t="s">
        <v>2238</v>
      </c>
      <c r="K8" s="187" t="s">
        <v>2239</v>
      </c>
      <c r="L8" s="5" t="s">
        <v>2239</v>
      </c>
      <c r="M8" s="246" t="s">
        <v>2239</v>
      </c>
    </row>
    <row r="9" spans="1:13" ht="104.25" customHeight="1">
      <c r="A9" s="142" t="s">
        <v>2240</v>
      </c>
      <c r="B9" s="143" t="s">
        <v>2241</v>
      </c>
      <c r="C9" s="142" t="s">
        <v>76</v>
      </c>
      <c r="D9" s="142" t="s">
        <v>42</v>
      </c>
      <c r="E9" s="142" t="s">
        <v>2216</v>
      </c>
      <c r="F9" s="142" t="s">
        <v>2217</v>
      </c>
      <c r="G9" s="142" t="s">
        <v>47</v>
      </c>
      <c r="H9" s="142" t="s">
        <v>2218</v>
      </c>
      <c r="I9" s="186" t="s">
        <v>2242</v>
      </c>
      <c r="J9" s="245" t="s">
        <v>2243</v>
      </c>
      <c r="K9" s="182"/>
      <c r="L9" s="5"/>
      <c r="M9" s="5"/>
    </row>
    <row r="10" spans="1:13" ht="110.25" customHeight="1">
      <c r="A10" s="142" t="s">
        <v>2244</v>
      </c>
      <c r="B10" s="143" t="s">
        <v>602</v>
      </c>
      <c r="C10" s="142" t="s">
        <v>76</v>
      </c>
      <c r="D10" s="142" t="s">
        <v>42</v>
      </c>
      <c r="E10" s="142" t="s">
        <v>2216</v>
      </c>
      <c r="F10" s="142" t="s">
        <v>2217</v>
      </c>
      <c r="G10" s="142" t="s">
        <v>47</v>
      </c>
      <c r="H10" s="142" t="s">
        <v>2218</v>
      </c>
      <c r="I10" s="186" t="s">
        <v>2242</v>
      </c>
      <c r="J10" s="245" t="s">
        <v>2245</v>
      </c>
      <c r="K10" s="182" t="s">
        <v>2246</v>
      </c>
      <c r="L10" s="5" t="s">
        <v>2247</v>
      </c>
      <c r="M10" s="5" t="s">
        <v>2247</v>
      </c>
    </row>
    <row r="11" spans="1:13" ht="119.25" customHeight="1">
      <c r="A11" s="142" t="s">
        <v>2248</v>
      </c>
      <c r="B11" s="143" t="s">
        <v>2249</v>
      </c>
      <c r="C11" s="142" t="s">
        <v>76</v>
      </c>
      <c r="D11" s="142" t="s">
        <v>42</v>
      </c>
      <c r="E11" s="142" t="s">
        <v>2216</v>
      </c>
      <c r="F11" s="142" t="s">
        <v>2217</v>
      </c>
      <c r="G11" s="142" t="s">
        <v>47</v>
      </c>
      <c r="H11" s="142" t="s">
        <v>2218</v>
      </c>
      <c r="I11" s="186" t="s">
        <v>2242</v>
      </c>
      <c r="J11" s="245" t="s">
        <v>2250</v>
      </c>
      <c r="K11" s="182"/>
      <c r="L11" s="5"/>
      <c r="M11" s="5"/>
    </row>
    <row r="12" spans="1:13" ht="15" hidden="1" customHeight="1">
      <c r="A12" s="178" t="s">
        <v>2251</v>
      </c>
    </row>
    <row r="13" spans="1:13" ht="29.1" hidden="1">
      <c r="A13" s="141" t="s">
        <v>2203</v>
      </c>
      <c r="B13" s="141" t="s">
        <v>2204</v>
      </c>
      <c r="C13" s="141" t="s">
        <v>2205</v>
      </c>
      <c r="D13" s="141" t="s">
        <v>2206</v>
      </c>
      <c r="E13" s="141" t="s">
        <v>2207</v>
      </c>
      <c r="F13" s="141" t="s">
        <v>1330</v>
      </c>
      <c r="G13" s="139" t="s">
        <v>2208</v>
      </c>
      <c r="H13" s="141" t="s">
        <v>2209</v>
      </c>
      <c r="I13" s="139" t="s">
        <v>2210</v>
      </c>
      <c r="J13" s="149" t="s">
        <v>2211</v>
      </c>
      <c r="K13" s="149" t="s">
        <v>2212</v>
      </c>
      <c r="L13" s="149" t="s">
        <v>2213</v>
      </c>
      <c r="M13" s="149" t="s">
        <v>2214</v>
      </c>
    </row>
    <row r="14" spans="1:13" ht="87" hidden="1">
      <c r="A14" s="142" t="s">
        <v>2229</v>
      </c>
      <c r="B14" s="143" t="s">
        <v>2252</v>
      </c>
      <c r="C14" s="142" t="s">
        <v>37</v>
      </c>
      <c r="D14" s="142" t="s">
        <v>42</v>
      </c>
      <c r="E14" s="142" t="s">
        <v>2216</v>
      </c>
      <c r="F14" s="142" t="s">
        <v>2217</v>
      </c>
      <c r="G14" s="142" t="s">
        <v>47</v>
      </c>
      <c r="H14" s="142" t="s">
        <v>2218</v>
      </c>
      <c r="I14" s="144" t="s">
        <v>2253</v>
      </c>
      <c r="J14" s="175" t="s">
        <v>2254</v>
      </c>
      <c r="K14" s="9" t="s">
        <v>2255</v>
      </c>
      <c r="L14" s="9" t="s">
        <v>2255</v>
      </c>
      <c r="M14" s="5" t="s">
        <v>2256</v>
      </c>
    </row>
    <row r="15" spans="1:13" ht="101.45" hidden="1">
      <c r="A15" s="5" t="s">
        <v>2233</v>
      </c>
      <c r="B15" s="138" t="s">
        <v>2257</v>
      </c>
      <c r="C15" s="5" t="s">
        <v>37</v>
      </c>
      <c r="D15" s="5" t="s">
        <v>42</v>
      </c>
      <c r="E15" s="5" t="s">
        <v>2216</v>
      </c>
      <c r="F15" s="142" t="s">
        <v>2217</v>
      </c>
      <c r="G15" s="5" t="s">
        <v>47</v>
      </c>
      <c r="H15" s="5" t="s">
        <v>2218</v>
      </c>
      <c r="I15" s="140" t="s">
        <v>2253</v>
      </c>
      <c r="J15" s="175" t="s">
        <v>2258</v>
      </c>
      <c r="K15" s="9" t="s">
        <v>2259</v>
      </c>
      <c r="L15" s="9" t="s">
        <v>2259</v>
      </c>
      <c r="M15" s="5" t="s">
        <v>2256</v>
      </c>
    </row>
    <row r="16" spans="1:13" ht="87" hidden="1">
      <c r="A16" s="5" t="s">
        <v>2236</v>
      </c>
      <c r="B16" s="138" t="s">
        <v>2260</v>
      </c>
      <c r="C16" s="5" t="s">
        <v>37</v>
      </c>
      <c r="D16" s="5" t="s">
        <v>42</v>
      </c>
      <c r="E16" s="5" t="s">
        <v>2216</v>
      </c>
      <c r="F16" s="142" t="s">
        <v>2217</v>
      </c>
      <c r="G16" s="5" t="s">
        <v>47</v>
      </c>
      <c r="H16" s="5" t="s">
        <v>2218</v>
      </c>
      <c r="I16" s="140" t="s">
        <v>2253</v>
      </c>
      <c r="J16" s="176" t="s">
        <v>2261</v>
      </c>
      <c r="K16" s="9" t="s">
        <v>2262</v>
      </c>
      <c r="L16" s="9" t="s">
        <v>2262</v>
      </c>
      <c r="M16" s="5" t="s">
        <v>2256</v>
      </c>
    </row>
    <row r="17" spans="1:13" ht="101.45" hidden="1">
      <c r="A17" s="5" t="s">
        <v>2263</v>
      </c>
      <c r="B17" s="138" t="s">
        <v>2264</v>
      </c>
      <c r="C17" s="5" t="s">
        <v>76</v>
      </c>
      <c r="D17" s="5" t="s">
        <v>42</v>
      </c>
      <c r="E17" s="5" t="s">
        <v>2216</v>
      </c>
      <c r="F17" s="142" t="s">
        <v>2217</v>
      </c>
      <c r="G17" s="5" t="s">
        <v>47</v>
      </c>
      <c r="H17" s="5" t="s">
        <v>2218</v>
      </c>
      <c r="I17" s="140" t="s">
        <v>2242</v>
      </c>
      <c r="J17" s="189" t="s">
        <v>2265</v>
      </c>
      <c r="K17" s="9" t="s">
        <v>2266</v>
      </c>
      <c r="L17" s="9" t="s">
        <v>2266</v>
      </c>
      <c r="M17" s="9" t="s">
        <v>2267</v>
      </c>
    </row>
    <row r="18" spans="1:13" ht="116.1" hidden="1">
      <c r="A18" s="5" t="s">
        <v>2268</v>
      </c>
      <c r="B18" s="138" t="s">
        <v>2269</v>
      </c>
      <c r="C18" s="5" t="s">
        <v>76</v>
      </c>
      <c r="D18" s="5" t="s">
        <v>42</v>
      </c>
      <c r="E18" s="5" t="s">
        <v>2216</v>
      </c>
      <c r="F18" s="142" t="s">
        <v>2217</v>
      </c>
      <c r="G18" s="5" t="s">
        <v>47</v>
      </c>
      <c r="H18" s="5" t="s">
        <v>2218</v>
      </c>
      <c r="I18" s="140" t="s">
        <v>2242</v>
      </c>
      <c r="J18" s="177" t="s">
        <v>2270</v>
      </c>
      <c r="K18" s="9" t="s">
        <v>2271</v>
      </c>
      <c r="L18" s="9" t="s">
        <v>2271</v>
      </c>
      <c r="M18" s="9" t="s">
        <v>2267</v>
      </c>
    </row>
    <row r="19" spans="1:13" ht="101.45" hidden="1">
      <c r="A19" s="5" t="s">
        <v>2272</v>
      </c>
      <c r="B19" s="138" t="s">
        <v>2273</v>
      </c>
      <c r="C19" s="5" t="s">
        <v>76</v>
      </c>
      <c r="D19" s="5" t="s">
        <v>42</v>
      </c>
      <c r="E19" s="5" t="s">
        <v>2216</v>
      </c>
      <c r="F19" s="142" t="s">
        <v>2217</v>
      </c>
      <c r="G19" s="5" t="s">
        <v>47</v>
      </c>
      <c r="H19" s="5" t="s">
        <v>2218</v>
      </c>
      <c r="I19" s="140" t="s">
        <v>2242</v>
      </c>
      <c r="J19" s="189" t="s">
        <v>2274</v>
      </c>
      <c r="K19" s="9" t="s">
        <v>2275</v>
      </c>
      <c r="L19" s="9" t="s">
        <v>2275</v>
      </c>
      <c r="M19" s="9" t="s">
        <v>2267</v>
      </c>
    </row>
    <row r="20" spans="1:13" ht="101.45" hidden="1">
      <c r="A20" s="9" t="s">
        <v>2215</v>
      </c>
      <c r="B20" s="138" t="s">
        <v>2276</v>
      </c>
      <c r="C20" s="5" t="s">
        <v>76</v>
      </c>
      <c r="D20" s="5" t="s">
        <v>42</v>
      </c>
      <c r="E20" s="5" t="s">
        <v>2216</v>
      </c>
      <c r="F20" s="142" t="s">
        <v>2217</v>
      </c>
      <c r="G20" s="5" t="s">
        <v>47</v>
      </c>
      <c r="H20" s="5" t="s">
        <v>2218</v>
      </c>
      <c r="I20" s="140" t="s">
        <v>2219</v>
      </c>
      <c r="J20" s="189" t="s">
        <v>2277</v>
      </c>
      <c r="K20" s="9"/>
      <c r="L20" s="9"/>
      <c r="M20" s="9"/>
    </row>
    <row r="21" spans="1:13" ht="101.45" hidden="1">
      <c r="A21" s="9" t="s">
        <v>2222</v>
      </c>
      <c r="B21" s="138" t="s">
        <v>2278</v>
      </c>
      <c r="C21" s="5" t="s">
        <v>76</v>
      </c>
      <c r="D21" s="5" t="s">
        <v>42</v>
      </c>
      <c r="E21" s="5" t="s">
        <v>2216</v>
      </c>
      <c r="F21" s="142" t="s">
        <v>2217</v>
      </c>
      <c r="G21" s="5" t="s">
        <v>47</v>
      </c>
      <c r="H21" s="5" t="s">
        <v>2218</v>
      </c>
      <c r="I21" s="140" t="s">
        <v>2219</v>
      </c>
      <c r="J21" s="189" t="s">
        <v>2279</v>
      </c>
      <c r="K21" s="9" t="s">
        <v>2280</v>
      </c>
      <c r="L21" s="9" t="s">
        <v>2280</v>
      </c>
      <c r="M21" s="9" t="s">
        <v>2280</v>
      </c>
    </row>
    <row r="22" spans="1:13" ht="101.45" hidden="1">
      <c r="A22" s="9" t="s">
        <v>2225</v>
      </c>
      <c r="B22" s="138" t="s">
        <v>2281</v>
      </c>
      <c r="C22" s="5" t="s">
        <v>76</v>
      </c>
      <c r="D22" s="5" t="s">
        <v>42</v>
      </c>
      <c r="E22" s="5" t="s">
        <v>2216</v>
      </c>
      <c r="F22" s="142" t="s">
        <v>2217</v>
      </c>
      <c r="G22" s="5" t="s">
        <v>47</v>
      </c>
      <c r="H22" s="5" t="s">
        <v>2218</v>
      </c>
      <c r="I22" s="140" t="s">
        <v>2219</v>
      </c>
      <c r="J22" s="189" t="s">
        <v>2282</v>
      </c>
      <c r="K22" s="9"/>
      <c r="L22" s="9"/>
      <c r="M22" s="9"/>
    </row>
  </sheetData>
  <dataValidations count="1">
    <dataValidation allowBlank="1" showInputMessage="1" showErrorMessage="1" sqref="J17:J22" xr:uid="{59DEA4DC-06D3-4CF9-9384-91536B5DDC3F}"/>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DB468-9CDD-4111-A3AC-91B997EA8201}">
  <sheetPr codeName="Sheet4"/>
  <dimension ref="A1:M166"/>
  <sheetViews>
    <sheetView topLeftCell="A139" workbookViewId="0">
      <selection activeCell="E167" sqref="E167"/>
    </sheetView>
  </sheetViews>
  <sheetFormatPr defaultColWidth="8.7109375" defaultRowHeight="15" customHeight="1"/>
  <cols>
    <col min="1" max="1" width="20.85546875" customWidth="1"/>
    <col min="2" max="2" width="25.85546875" customWidth="1"/>
    <col min="3" max="3" width="59.28515625" customWidth="1"/>
    <col min="4" max="4" width="55.28515625" customWidth="1"/>
    <col min="5" max="5" width="47.42578125" style="28" customWidth="1"/>
    <col min="6" max="6" width="45.7109375" style="28" customWidth="1"/>
    <col min="7" max="7" width="16.42578125" customWidth="1"/>
    <col min="8" max="8" width="19.140625" customWidth="1"/>
    <col min="9" max="9" width="15" bestFit="1" customWidth="1"/>
    <col min="10" max="11" width="15.85546875" bestFit="1" customWidth="1"/>
    <col min="12" max="12" width="13.42578125" bestFit="1" customWidth="1"/>
    <col min="19" max="19" width="9.28515625" customWidth="1"/>
  </cols>
  <sheetData>
    <row r="1" spans="1:12" ht="14.45">
      <c r="A1" s="310" t="s">
        <v>2283</v>
      </c>
      <c r="B1" s="310"/>
      <c r="C1" s="310"/>
      <c r="D1" s="310"/>
      <c r="E1" s="310"/>
      <c r="F1" s="310"/>
      <c r="G1" s="310"/>
      <c r="H1" s="310"/>
    </row>
    <row r="2" spans="1:12" ht="14.45">
      <c r="A2" s="284" t="s">
        <v>2284</v>
      </c>
      <c r="B2" s="284" t="s">
        <v>2285</v>
      </c>
      <c r="C2" s="284" t="s">
        <v>2286</v>
      </c>
      <c r="D2" s="284" t="s">
        <v>2212</v>
      </c>
      <c r="E2" s="284" t="s">
        <v>2213</v>
      </c>
      <c r="F2" s="284" t="s">
        <v>2287</v>
      </c>
      <c r="G2" s="284" t="s">
        <v>2288</v>
      </c>
      <c r="H2" s="284" t="s">
        <v>2289</v>
      </c>
      <c r="I2" s="284" t="s">
        <v>2290</v>
      </c>
      <c r="J2" s="284" t="s">
        <v>2291</v>
      </c>
      <c r="K2" s="207" t="s">
        <v>2292</v>
      </c>
    </row>
    <row r="3" spans="1:12" s="242" customFormat="1" ht="14.45">
      <c r="A3" s="70"/>
      <c r="B3" s="70"/>
      <c r="C3" s="96" t="s">
        <v>2293</v>
      </c>
      <c r="D3" s="71" t="s">
        <v>810</v>
      </c>
      <c r="E3" s="96" t="s">
        <v>810</v>
      </c>
      <c r="F3" s="96" t="s">
        <v>810</v>
      </c>
      <c r="G3" s="70"/>
      <c r="H3" s="70"/>
    </row>
    <row r="4" spans="1:12" s="242" customFormat="1" ht="14.45">
      <c r="A4" s="70"/>
      <c r="B4" s="70"/>
      <c r="C4" s="96" t="s">
        <v>2294</v>
      </c>
      <c r="D4" s="71" t="s">
        <v>2295</v>
      </c>
      <c r="E4" s="96" t="s">
        <v>2295</v>
      </c>
      <c r="F4" s="96" t="s">
        <v>2295</v>
      </c>
      <c r="G4" s="70"/>
      <c r="H4" s="70"/>
    </row>
    <row r="5" spans="1:12" s="242" customFormat="1" ht="14.45">
      <c r="A5" s="70"/>
      <c r="B5" s="70"/>
      <c r="C5" s="96" t="s">
        <v>2296</v>
      </c>
      <c r="D5" s="71" t="s">
        <v>2297</v>
      </c>
      <c r="E5" s="96" t="s">
        <v>2297</v>
      </c>
      <c r="F5" s="119" t="s">
        <v>2297</v>
      </c>
      <c r="G5" s="70"/>
      <c r="H5" s="70"/>
    </row>
    <row r="6" spans="1:12" s="242" customFormat="1" ht="14.45">
      <c r="A6" s="70"/>
      <c r="B6" s="70"/>
      <c r="C6" s="119" t="s">
        <v>2296</v>
      </c>
      <c r="D6" s="71" t="s">
        <v>128</v>
      </c>
      <c r="E6" s="96" t="s">
        <v>128</v>
      </c>
      <c r="F6" s="96" t="s">
        <v>128</v>
      </c>
      <c r="G6" s="70"/>
      <c r="H6" s="70"/>
    </row>
    <row r="7" spans="1:12" s="242" customFormat="1" ht="14.45">
      <c r="A7" s="70"/>
      <c r="B7" s="70"/>
      <c r="C7" s="119"/>
      <c r="D7" s="71"/>
      <c r="E7" s="96" t="s">
        <v>2298</v>
      </c>
      <c r="F7" s="96" t="s">
        <v>2299</v>
      </c>
      <c r="G7" s="70"/>
      <c r="H7" s="70"/>
    </row>
    <row r="8" spans="1:12" s="242" customFormat="1" ht="14.45">
      <c r="A8" s="237">
        <v>45436</v>
      </c>
      <c r="B8" s="70"/>
      <c r="C8" s="119" t="s">
        <v>2300</v>
      </c>
      <c r="D8" s="71" t="s">
        <v>2301</v>
      </c>
      <c r="E8" s="96" t="s">
        <v>814</v>
      </c>
      <c r="F8" s="96" t="s">
        <v>2302</v>
      </c>
      <c r="G8" s="70"/>
      <c r="H8" s="70"/>
    </row>
    <row r="9" spans="1:12" s="242" customFormat="1" ht="14.45">
      <c r="A9" s="237">
        <v>45436</v>
      </c>
      <c r="B9" s="70"/>
      <c r="C9" s="119" t="s">
        <v>2303</v>
      </c>
      <c r="D9" s="71" t="s">
        <v>2304</v>
      </c>
      <c r="E9" s="96" t="s">
        <v>2305</v>
      </c>
      <c r="F9" s="96" t="s">
        <v>2302</v>
      </c>
      <c r="G9" s="70"/>
      <c r="H9" s="70"/>
    </row>
    <row r="10" spans="1:12" s="242" customFormat="1" ht="14.45">
      <c r="A10" s="237">
        <v>45691</v>
      </c>
      <c r="B10" s="70"/>
      <c r="C10" s="119" t="s">
        <v>2306</v>
      </c>
      <c r="D10" s="71" t="s">
        <v>884</v>
      </c>
      <c r="E10" s="96" t="s">
        <v>884</v>
      </c>
      <c r="F10" s="96" t="s">
        <v>2307</v>
      </c>
      <c r="G10" s="70"/>
      <c r="H10" s="70"/>
    </row>
    <row r="11" spans="1:12" s="242" customFormat="1" ht="14.45">
      <c r="A11" s="237">
        <v>45691</v>
      </c>
      <c r="B11" s="70"/>
      <c r="C11" s="119" t="s">
        <v>2300</v>
      </c>
      <c r="D11" s="71" t="s">
        <v>888</v>
      </c>
      <c r="E11" s="96" t="s">
        <v>888</v>
      </c>
      <c r="F11" s="96" t="s">
        <v>2307</v>
      </c>
      <c r="G11" s="70"/>
      <c r="H11" s="70"/>
    </row>
    <row r="12" spans="1:12" s="242" customFormat="1" ht="14.45">
      <c r="A12" s="237">
        <v>45691</v>
      </c>
      <c r="B12" s="70"/>
      <c r="C12" s="119" t="s">
        <v>2308</v>
      </c>
      <c r="D12" s="71" t="s">
        <v>890</v>
      </c>
      <c r="E12" s="96" t="s">
        <v>890</v>
      </c>
      <c r="F12" s="96" t="s">
        <v>2309</v>
      </c>
      <c r="G12" s="70"/>
      <c r="H12" s="70"/>
    </row>
    <row r="13" spans="1:12" s="242" customFormat="1" ht="14.45">
      <c r="A13" s="237">
        <v>45691</v>
      </c>
      <c r="B13" s="70"/>
      <c r="C13" s="119" t="s">
        <v>2310</v>
      </c>
      <c r="D13" s="71" t="s">
        <v>2311</v>
      </c>
      <c r="E13" s="96" t="s">
        <v>2311</v>
      </c>
      <c r="F13" s="96" t="s">
        <v>2309</v>
      </c>
      <c r="G13" s="70"/>
      <c r="H13" s="70"/>
    </row>
    <row r="14" spans="1:12" s="274" customFormat="1" ht="14.45">
      <c r="A14" s="268">
        <v>45783</v>
      </c>
      <c r="B14" s="268">
        <v>46146</v>
      </c>
      <c r="C14" s="269" t="s">
        <v>947</v>
      </c>
      <c r="D14" s="270" t="s">
        <v>948</v>
      </c>
      <c r="E14" s="270" t="s">
        <v>948</v>
      </c>
      <c r="F14" s="270" t="s">
        <v>948</v>
      </c>
      <c r="G14" s="271">
        <v>1000000</v>
      </c>
      <c r="H14" s="209">
        <v>11518</v>
      </c>
      <c r="I14" s="272">
        <f>G14-964530</f>
        <v>35470</v>
      </c>
      <c r="J14" s="272">
        <f>I14-H14</f>
        <v>23952</v>
      </c>
      <c r="K14" s="273">
        <f t="shared" ref="K14:K19" si="0">H14/I14</f>
        <v>0.32472511981956581</v>
      </c>
      <c r="L14" s="274" t="s">
        <v>2312</v>
      </c>
    </row>
    <row r="15" spans="1:12" s="242" customFormat="1" ht="14.45">
      <c r="A15" s="117">
        <v>45772</v>
      </c>
      <c r="B15" s="117">
        <v>46146</v>
      </c>
      <c r="C15" s="104" t="s">
        <v>958</v>
      </c>
      <c r="D15" s="196" t="s">
        <v>959</v>
      </c>
      <c r="E15" s="196" t="s">
        <v>959</v>
      </c>
      <c r="F15" s="196" t="s">
        <v>959</v>
      </c>
      <c r="G15" s="203">
        <v>1000000</v>
      </c>
      <c r="H15" s="97">
        <v>4454</v>
      </c>
      <c r="I15" s="275">
        <f>G15-932552</f>
        <v>67448</v>
      </c>
      <c r="J15" s="275">
        <f t="shared" ref="J15:J18" si="1">I15-H15</f>
        <v>62994</v>
      </c>
      <c r="K15" s="276">
        <f t="shared" si="0"/>
        <v>6.6036057407187765E-2</v>
      </c>
      <c r="L15" s="242" t="s">
        <v>2312</v>
      </c>
    </row>
    <row r="16" spans="1:12" s="283" customFormat="1" ht="14.45">
      <c r="A16" s="277">
        <v>45869</v>
      </c>
      <c r="B16" s="277">
        <v>46387</v>
      </c>
      <c r="C16" s="278" t="s">
        <v>1029</v>
      </c>
      <c r="D16" s="266" t="s">
        <v>1030</v>
      </c>
      <c r="E16" s="266" t="s">
        <v>1030</v>
      </c>
      <c r="F16" s="266" t="s">
        <v>1030</v>
      </c>
      <c r="G16" s="279">
        <v>1000000</v>
      </c>
      <c r="H16" s="280">
        <v>52022</v>
      </c>
      <c r="I16" s="281">
        <f>G16-823570</f>
        <v>176430</v>
      </c>
      <c r="J16" s="281">
        <f t="shared" si="1"/>
        <v>124408</v>
      </c>
      <c r="K16" s="282">
        <f t="shared" si="0"/>
        <v>0.2948591509380491</v>
      </c>
      <c r="L16" s="283" t="s">
        <v>2312</v>
      </c>
    </row>
    <row r="17" spans="1:13" s="283" customFormat="1" ht="14.45">
      <c r="A17" s="277">
        <v>45869</v>
      </c>
      <c r="B17" s="277">
        <v>46387</v>
      </c>
      <c r="C17" s="278" t="s">
        <v>1032</v>
      </c>
      <c r="D17" s="267" t="s">
        <v>1033</v>
      </c>
      <c r="E17" s="267" t="s">
        <v>1033</v>
      </c>
      <c r="F17" s="267" t="s">
        <v>1033</v>
      </c>
      <c r="G17" s="279">
        <v>1000000</v>
      </c>
      <c r="H17" s="280">
        <v>30143</v>
      </c>
      <c r="I17" s="281">
        <f>G17-680644</f>
        <v>319356</v>
      </c>
      <c r="J17" s="281">
        <f t="shared" si="1"/>
        <v>289213</v>
      </c>
      <c r="K17" s="282">
        <f t="shared" si="0"/>
        <v>9.4386828492340841E-2</v>
      </c>
      <c r="L17" s="283" t="s">
        <v>2312</v>
      </c>
    </row>
    <row r="18" spans="1:13" s="283" customFormat="1" ht="14.45">
      <c r="A18" s="277">
        <v>45869</v>
      </c>
      <c r="B18" s="277">
        <v>46387</v>
      </c>
      <c r="C18" s="278" t="s">
        <v>1036</v>
      </c>
      <c r="D18" s="266" t="s">
        <v>1037</v>
      </c>
      <c r="E18" s="266" t="s">
        <v>1037</v>
      </c>
      <c r="F18" s="266" t="s">
        <v>1030</v>
      </c>
      <c r="G18" s="279">
        <v>500000</v>
      </c>
      <c r="H18" s="280">
        <v>4912</v>
      </c>
      <c r="I18" s="283">
        <v>278000</v>
      </c>
      <c r="J18" s="281">
        <f t="shared" si="1"/>
        <v>273088</v>
      </c>
      <c r="K18" s="282">
        <f t="shared" si="0"/>
        <v>1.766906474820144E-2</v>
      </c>
      <c r="L18" s="283" t="s">
        <v>2313</v>
      </c>
    </row>
    <row r="19" spans="1:13" ht="14.45">
      <c r="A19" s="28"/>
      <c r="B19" s="208"/>
      <c r="C19" s="7"/>
      <c r="D19" s="285" t="s">
        <v>1137</v>
      </c>
      <c r="E19" s="7"/>
      <c r="F19" s="7"/>
      <c r="G19" s="28"/>
      <c r="H19" s="212">
        <f>SUM(H14:H18)</f>
        <v>103049</v>
      </c>
      <c r="I19" s="211">
        <f>SUM(I14:I18)</f>
        <v>876704</v>
      </c>
      <c r="J19" s="211">
        <f>SUM(J14:J18)</f>
        <v>773655</v>
      </c>
      <c r="K19" s="210">
        <f t="shared" si="0"/>
        <v>0.11754138226813154</v>
      </c>
    </row>
    <row r="20" spans="1:13" ht="14.45">
      <c r="A20" s="28"/>
      <c r="B20" s="208"/>
      <c r="C20" s="7"/>
      <c r="D20" s="286" t="s">
        <v>903</v>
      </c>
      <c r="E20" s="7"/>
      <c r="F20" s="7"/>
      <c r="G20" s="28"/>
      <c r="H20" s="212"/>
      <c r="I20" s="211"/>
      <c r="J20" s="211"/>
      <c r="K20" s="210"/>
    </row>
    <row r="21" spans="1:13" ht="14.45">
      <c r="A21" s="28"/>
      <c r="B21" s="208"/>
      <c r="C21" s="7"/>
      <c r="D21" s="7"/>
      <c r="E21" s="7"/>
      <c r="F21" s="7"/>
      <c r="G21" s="28" t="s">
        <v>2314</v>
      </c>
      <c r="H21" s="212">
        <f>SUM(H14:H15)</f>
        <v>15972</v>
      </c>
      <c r="I21" s="213">
        <f>SUM(I14:I15)</f>
        <v>102918</v>
      </c>
      <c r="J21" s="213">
        <f>SUM(J14:J15)</f>
        <v>86946</v>
      </c>
      <c r="K21" s="210">
        <f>H21/I21</f>
        <v>0.1551915116889174</v>
      </c>
      <c r="M21" s="224">
        <v>0.17</v>
      </c>
    </row>
    <row r="22" spans="1:13" ht="14.45">
      <c r="A22" s="28"/>
      <c r="B22" s="208"/>
      <c r="C22" s="7"/>
      <c r="D22" s="7"/>
      <c r="E22" s="7"/>
      <c r="F22" s="7"/>
      <c r="G22" s="28" t="s">
        <v>2315</v>
      </c>
      <c r="H22" s="212">
        <f>SUM(H16:H17)</f>
        <v>82165</v>
      </c>
      <c r="I22" s="213">
        <f>SUM(I16:I17)</f>
        <v>495786</v>
      </c>
      <c r="J22" s="213">
        <f>SUM(J16:J17)</f>
        <v>413621</v>
      </c>
      <c r="K22" s="210">
        <f>H22/I22</f>
        <v>0.16572674500691831</v>
      </c>
      <c r="M22" s="224">
        <v>0.83</v>
      </c>
    </row>
    <row r="23" spans="1:13" ht="14.45">
      <c r="A23" s="28"/>
      <c r="B23" s="208"/>
      <c r="C23" s="7"/>
      <c r="D23" s="7"/>
      <c r="E23" s="7"/>
      <c r="F23" s="7"/>
      <c r="G23" s="28" t="s">
        <v>2316</v>
      </c>
      <c r="H23" s="212">
        <f>H18</f>
        <v>4912</v>
      </c>
      <c r="I23" s="213">
        <f>I18</f>
        <v>278000</v>
      </c>
      <c r="J23" s="213">
        <f>J18</f>
        <v>273088</v>
      </c>
      <c r="K23" s="210">
        <f>H23/I23</f>
        <v>1.766906474820144E-2</v>
      </c>
    </row>
    <row r="24" spans="1:13" ht="14.45">
      <c r="A24" s="28"/>
      <c r="B24" s="208"/>
      <c r="C24" s="7"/>
      <c r="D24" s="7"/>
      <c r="E24" s="7"/>
      <c r="F24" s="7"/>
      <c r="I24" s="211">
        <f>SUM(I21:I23)</f>
        <v>876704</v>
      </c>
      <c r="J24" s="211">
        <f>SUM(J21:J23)</f>
        <v>773655</v>
      </c>
      <c r="K24" s="210"/>
    </row>
    <row r="25" spans="1:13" ht="14.45">
      <c r="B25" s="168"/>
      <c r="C25" s="7"/>
      <c r="D25" s="7"/>
      <c r="E25" s="7"/>
      <c r="F25" s="7"/>
      <c r="G25" s="214"/>
      <c r="H25" s="215" t="s">
        <v>2317</v>
      </c>
      <c r="I25" s="216" t="s">
        <v>2318</v>
      </c>
      <c r="J25" s="216" t="s">
        <v>2291</v>
      </c>
      <c r="K25" s="216" t="s">
        <v>2319</v>
      </c>
      <c r="L25" s="216" t="s">
        <v>2320</v>
      </c>
    </row>
    <row r="26" spans="1:13" ht="14.45">
      <c r="A26" s="310" t="s">
        <v>2321</v>
      </c>
      <c r="B26" s="310"/>
      <c r="C26" s="310"/>
      <c r="D26" s="310"/>
      <c r="E26" s="310"/>
      <c r="F26" s="310"/>
      <c r="G26" s="217" t="s">
        <v>2322</v>
      </c>
      <c r="H26" s="218">
        <f>SUM(H21:H22)</f>
        <v>98137</v>
      </c>
      <c r="I26" s="218">
        <f>SUM(I21:I22)</f>
        <v>598704</v>
      </c>
      <c r="J26" s="218">
        <f>SUM(J21:J22)</f>
        <v>500567</v>
      </c>
      <c r="K26" s="219">
        <f>H26/I26</f>
        <v>0.16391572463187151</v>
      </c>
      <c r="L26" s="219">
        <f>J26/I26</f>
        <v>0.83608427536812846</v>
      </c>
    </row>
    <row r="27" spans="1:13" ht="14.45">
      <c r="A27" s="168"/>
      <c r="B27" s="168"/>
      <c r="C27" s="169" t="s">
        <v>2286</v>
      </c>
      <c r="D27" s="169" t="s">
        <v>2323</v>
      </c>
      <c r="E27" s="124" t="s">
        <v>2324</v>
      </c>
      <c r="F27" s="124" t="s">
        <v>2325</v>
      </c>
      <c r="G27" s="217" t="s">
        <v>2326</v>
      </c>
      <c r="H27" s="218">
        <f>H23</f>
        <v>4912</v>
      </c>
      <c r="I27" s="218">
        <f>I23</f>
        <v>278000</v>
      </c>
      <c r="J27" s="218">
        <f>J23</f>
        <v>273088</v>
      </c>
      <c r="K27" s="219">
        <f>H27/I27</f>
        <v>1.766906474820144E-2</v>
      </c>
      <c r="L27" s="219">
        <f>J27/I27</f>
        <v>0.9823309352517986</v>
      </c>
    </row>
    <row r="28" spans="1:13" ht="14.45">
      <c r="B28" s="312" t="s">
        <v>2327</v>
      </c>
      <c r="C28" s="312"/>
      <c r="D28" s="312"/>
      <c r="E28" s="312"/>
      <c r="F28" s="312"/>
      <c r="G28" s="220" t="s">
        <v>2328</v>
      </c>
      <c r="H28" s="221">
        <f>SUM(H26:H27)</f>
        <v>103049</v>
      </c>
      <c r="I28" s="221">
        <f>SUM(I26:I27)</f>
        <v>876704</v>
      </c>
      <c r="J28" s="221">
        <f>SUM(J26:J27)</f>
        <v>773655</v>
      </c>
      <c r="K28" s="222">
        <f>H28/I28</f>
        <v>0.11754138226813154</v>
      </c>
      <c r="L28" s="222">
        <f>J28/I28</f>
        <v>0.8824586177318684</v>
      </c>
    </row>
    <row r="29" spans="1:13" ht="14.45">
      <c r="B29" s="137" t="s">
        <v>2329</v>
      </c>
      <c r="C29" s="126" t="s">
        <v>59</v>
      </c>
      <c r="D29" s="28" t="s">
        <v>2330</v>
      </c>
      <c r="E29" s="28" t="s">
        <v>2330</v>
      </c>
      <c r="F29" s="28" t="s">
        <v>412</v>
      </c>
    </row>
    <row r="30" spans="1:13" ht="14.45">
      <c r="C30" s="126" t="s">
        <v>62</v>
      </c>
      <c r="D30" s="28" t="s">
        <v>2331</v>
      </c>
      <c r="E30" s="28" t="s">
        <v>2331</v>
      </c>
      <c r="F30" s="28" t="s">
        <v>412</v>
      </c>
      <c r="I30" s="223" t="s">
        <v>2332</v>
      </c>
    </row>
    <row r="31" spans="1:13" ht="14.45">
      <c r="C31" s="126" t="s">
        <v>63</v>
      </c>
      <c r="D31" s="28" t="s">
        <v>2333</v>
      </c>
      <c r="E31" s="28" t="s">
        <v>2333</v>
      </c>
      <c r="F31" s="28" t="s">
        <v>412</v>
      </c>
    </row>
    <row r="32" spans="1:13" ht="14.45">
      <c r="C32" s="126" t="s">
        <v>65</v>
      </c>
      <c r="D32" s="28" t="s">
        <v>2334</v>
      </c>
      <c r="E32" s="28" t="s">
        <v>2334</v>
      </c>
      <c r="F32" s="28" t="s">
        <v>412</v>
      </c>
      <c r="H32" t="s">
        <v>2335</v>
      </c>
      <c r="I32">
        <v>404771</v>
      </c>
    </row>
    <row r="33" spans="2:12" ht="14.45">
      <c r="C33" s="126" t="s">
        <v>67</v>
      </c>
      <c r="D33" s="28" t="s">
        <v>2336</v>
      </c>
      <c r="E33" s="28" t="s">
        <v>2336</v>
      </c>
      <c r="F33" s="28" t="s">
        <v>412</v>
      </c>
    </row>
    <row r="34" spans="2:12" ht="14.45">
      <c r="C34" s="126" t="s">
        <v>69</v>
      </c>
      <c r="D34" s="28" t="s">
        <v>2337</v>
      </c>
      <c r="E34" s="28" t="s">
        <v>2337</v>
      </c>
      <c r="F34" s="28" t="s">
        <v>412</v>
      </c>
      <c r="I34" s="213"/>
    </row>
    <row r="35" spans="2:12" ht="14.45">
      <c r="C35" s="126" t="s">
        <v>419</v>
      </c>
      <c r="D35" s="28" t="s">
        <v>2338</v>
      </c>
      <c r="E35" s="28" t="s">
        <v>2338</v>
      </c>
      <c r="F35" s="28" t="s">
        <v>412</v>
      </c>
      <c r="I35" s="213"/>
    </row>
    <row r="36" spans="2:12" ht="14.45">
      <c r="C36" s="126" t="s">
        <v>59</v>
      </c>
      <c r="D36" s="28" t="s">
        <v>2339</v>
      </c>
      <c r="E36" s="28" t="s">
        <v>2339</v>
      </c>
      <c r="F36" s="28" t="s">
        <v>412</v>
      </c>
      <c r="I36">
        <f>I21*0.65</f>
        <v>66896.7</v>
      </c>
      <c r="J36">
        <f>J21*0.65</f>
        <v>56514.9</v>
      </c>
    </row>
    <row r="37" spans="2:12" ht="14.45">
      <c r="C37" s="126" t="s">
        <v>62</v>
      </c>
      <c r="D37" s="28" t="s">
        <v>2340</v>
      </c>
      <c r="E37" s="28" t="s">
        <v>2340</v>
      </c>
      <c r="F37" s="28" t="s">
        <v>412</v>
      </c>
      <c r="I37">
        <f>I22*0.65</f>
        <v>322260.90000000002</v>
      </c>
      <c r="J37">
        <f>J22*0.65</f>
        <v>268853.65000000002</v>
      </c>
    </row>
    <row r="38" spans="2:12" ht="14.45">
      <c r="C38" s="126" t="s">
        <v>63</v>
      </c>
      <c r="D38" s="28" t="s">
        <v>2341</v>
      </c>
      <c r="E38" s="28" t="s">
        <v>2341</v>
      </c>
      <c r="F38" s="28" t="s">
        <v>412</v>
      </c>
      <c r="I38">
        <f>SUM(I36:I37)</f>
        <v>389157.60000000003</v>
      </c>
    </row>
    <row r="39" spans="2:12" ht="14.45">
      <c r="C39" s="126" t="s">
        <v>69</v>
      </c>
      <c r="D39" s="28" t="s">
        <v>2342</v>
      </c>
      <c r="E39" s="28" t="s">
        <v>2342</v>
      </c>
      <c r="F39" s="28" t="s">
        <v>412</v>
      </c>
      <c r="G39" s="214"/>
      <c r="H39" s="215" t="s">
        <v>2317</v>
      </c>
      <c r="I39" s="216" t="s">
        <v>2318</v>
      </c>
      <c r="J39" s="216" t="s">
        <v>2291</v>
      </c>
      <c r="K39" s="216" t="s">
        <v>2319</v>
      </c>
      <c r="L39" s="216" t="s">
        <v>2320</v>
      </c>
    </row>
    <row r="40" spans="2:12" ht="14.45">
      <c r="C40" s="126" t="s">
        <v>419</v>
      </c>
      <c r="D40" s="28" t="s">
        <v>2343</v>
      </c>
      <c r="E40" s="28" t="s">
        <v>2343</v>
      </c>
      <c r="F40" s="28" t="s">
        <v>412</v>
      </c>
      <c r="G40" s="217" t="s">
        <v>2322</v>
      </c>
      <c r="H40" s="218">
        <v>98137</v>
      </c>
      <c r="I40" s="218">
        <f>SUM(I36:I37)</f>
        <v>389157.60000000003</v>
      </c>
      <c r="J40" s="218">
        <f>SUM(J36:J37)</f>
        <v>325368.55000000005</v>
      </c>
      <c r="K40" s="219">
        <f>H40/I40</f>
        <v>0.25217803789518689</v>
      </c>
      <c r="L40" s="219">
        <f>J40/I40</f>
        <v>0.83608427536812857</v>
      </c>
    </row>
    <row r="41" spans="2:12" ht="14.45">
      <c r="B41" s="312" t="s">
        <v>2344</v>
      </c>
      <c r="C41" s="312"/>
      <c r="D41" s="312"/>
      <c r="E41" s="312"/>
      <c r="F41" s="312"/>
      <c r="G41" s="217" t="s">
        <v>2326</v>
      </c>
      <c r="H41" s="218">
        <v>4912</v>
      </c>
      <c r="I41" s="218">
        <f>I23</f>
        <v>278000</v>
      </c>
      <c r="J41" s="218">
        <f>J23</f>
        <v>273088</v>
      </c>
      <c r="K41" s="219">
        <f>H41/I41</f>
        <v>1.766906474820144E-2</v>
      </c>
      <c r="L41" s="219">
        <f>J41/I41</f>
        <v>0.9823309352517986</v>
      </c>
    </row>
    <row r="42" spans="2:12" ht="14.45">
      <c r="B42" s="136" t="s">
        <v>2345</v>
      </c>
      <c r="C42" s="28" t="s">
        <v>59</v>
      </c>
      <c r="D42" s="28" t="s">
        <v>2346</v>
      </c>
      <c r="E42" s="28" t="s">
        <v>2346</v>
      </c>
      <c r="F42" s="28" t="s">
        <v>424</v>
      </c>
      <c r="G42" s="220" t="s">
        <v>2328</v>
      </c>
      <c r="H42" s="221">
        <v>103049</v>
      </c>
      <c r="I42" s="221">
        <f>SUM(I40:I41)</f>
        <v>667157.60000000009</v>
      </c>
      <c r="J42" s="221">
        <f>SUM(J40:J41)</f>
        <v>598456.55000000005</v>
      </c>
      <c r="K42" s="222">
        <f>H42/I42</f>
        <v>0.15445975583580249</v>
      </c>
      <c r="L42" s="222">
        <f>J42/I42</f>
        <v>0.89702425633763294</v>
      </c>
    </row>
    <row r="43" spans="2:12" ht="14.45">
      <c r="C43" s="28" t="s">
        <v>62</v>
      </c>
      <c r="D43" s="28" t="s">
        <v>2347</v>
      </c>
      <c r="E43" s="28" t="s">
        <v>2347</v>
      </c>
      <c r="F43" s="28" t="s">
        <v>424</v>
      </c>
    </row>
    <row r="44" spans="2:12" ht="14.45">
      <c r="C44" s="28" t="s">
        <v>63</v>
      </c>
      <c r="D44" s="28" t="s">
        <v>2348</v>
      </c>
      <c r="E44" s="28" t="s">
        <v>2348</v>
      </c>
      <c r="F44" s="28" t="s">
        <v>424</v>
      </c>
    </row>
    <row r="45" spans="2:12" ht="14.45">
      <c r="C45" s="28" t="s">
        <v>65</v>
      </c>
      <c r="D45" s="28" t="s">
        <v>2349</v>
      </c>
      <c r="E45" s="28" t="s">
        <v>2349</v>
      </c>
      <c r="F45" s="28" t="s">
        <v>424</v>
      </c>
    </row>
    <row r="46" spans="2:12" ht="14.45">
      <c r="C46" s="28" t="s">
        <v>67</v>
      </c>
      <c r="D46" s="28" t="s">
        <v>2350</v>
      </c>
      <c r="E46" s="28" t="s">
        <v>2350</v>
      </c>
      <c r="F46" s="28" t="s">
        <v>424</v>
      </c>
    </row>
    <row r="47" spans="2:12" ht="14.45">
      <c r="C47" s="28" t="s">
        <v>69</v>
      </c>
      <c r="D47" s="28" t="s">
        <v>2351</v>
      </c>
      <c r="E47" s="28" t="s">
        <v>2351</v>
      </c>
      <c r="F47" s="28" t="s">
        <v>424</v>
      </c>
    </row>
    <row r="48" spans="2:12" ht="14.45">
      <c r="C48" s="28" t="s">
        <v>419</v>
      </c>
      <c r="D48" s="28" t="s">
        <v>2352</v>
      </c>
      <c r="E48" s="28" t="s">
        <v>2352</v>
      </c>
      <c r="F48" s="28" t="s">
        <v>424</v>
      </c>
    </row>
    <row r="49" spans="2:6" ht="14.45">
      <c r="C49" s="28" t="s">
        <v>59</v>
      </c>
      <c r="D49" s="28" t="s">
        <v>2353</v>
      </c>
      <c r="E49" s="28" t="s">
        <v>2353</v>
      </c>
      <c r="F49" s="28" t="s">
        <v>424</v>
      </c>
    </row>
    <row r="50" spans="2:6" ht="14.45">
      <c r="C50" s="28" t="s">
        <v>62</v>
      </c>
      <c r="D50" s="28" t="s">
        <v>2354</v>
      </c>
      <c r="E50" s="28" t="s">
        <v>2354</v>
      </c>
      <c r="F50" s="28" t="s">
        <v>424</v>
      </c>
    </row>
    <row r="51" spans="2:6" ht="14.45">
      <c r="C51" s="126" t="s">
        <v>63</v>
      </c>
      <c r="D51" s="28" t="s">
        <v>2355</v>
      </c>
      <c r="E51" s="28" t="s">
        <v>2355</v>
      </c>
      <c r="F51" s="28" t="s">
        <v>424</v>
      </c>
    </row>
    <row r="52" spans="2:6" ht="14.45">
      <c r="C52" s="28" t="s">
        <v>69</v>
      </c>
      <c r="D52" s="28" t="s">
        <v>2356</v>
      </c>
      <c r="E52" s="28" t="s">
        <v>2356</v>
      </c>
      <c r="F52" s="28" t="s">
        <v>424</v>
      </c>
    </row>
    <row r="53" spans="2:6" ht="14.45">
      <c r="C53" s="28" t="s">
        <v>419</v>
      </c>
      <c r="D53" s="28" t="s">
        <v>2357</v>
      </c>
      <c r="E53" s="28" t="s">
        <v>2357</v>
      </c>
      <c r="F53" s="28" t="s">
        <v>424</v>
      </c>
    </row>
    <row r="54" spans="2:6" ht="14.85" customHeight="1">
      <c r="B54" s="312" t="s">
        <v>2358</v>
      </c>
      <c r="C54" s="312"/>
      <c r="D54" s="312"/>
      <c r="E54" s="312"/>
      <c r="F54" s="312"/>
    </row>
    <row r="55" spans="2:6" ht="14.45">
      <c r="B55" s="136" t="s">
        <v>2359</v>
      </c>
      <c r="C55" s="28" t="s">
        <v>59</v>
      </c>
      <c r="D55" s="156" t="s">
        <v>2360</v>
      </c>
      <c r="E55" s="156" t="s">
        <v>2360</v>
      </c>
      <c r="F55" s="28" t="s">
        <v>2361</v>
      </c>
    </row>
    <row r="56" spans="2:6" ht="14.45">
      <c r="B56" s="136"/>
      <c r="C56" s="28" t="s">
        <v>62</v>
      </c>
      <c r="D56" s="28" t="s">
        <v>2362</v>
      </c>
      <c r="E56" s="28" t="s">
        <v>2362</v>
      </c>
      <c r="F56" s="28" t="s">
        <v>2361</v>
      </c>
    </row>
    <row r="57" spans="2:6" ht="14.45">
      <c r="B57" s="136"/>
      <c r="C57" s="28" t="s">
        <v>63</v>
      </c>
      <c r="D57" s="28" t="s">
        <v>2363</v>
      </c>
      <c r="E57" s="28" t="s">
        <v>2363</v>
      </c>
      <c r="F57" s="28" t="s">
        <v>2361</v>
      </c>
    </row>
    <row r="58" spans="2:6" ht="14.45">
      <c r="B58" s="136"/>
      <c r="C58" s="28" t="s">
        <v>65</v>
      </c>
      <c r="D58" s="28" t="s">
        <v>2364</v>
      </c>
      <c r="E58" s="28" t="s">
        <v>2364</v>
      </c>
      <c r="F58" s="28" t="s">
        <v>2361</v>
      </c>
    </row>
    <row r="59" spans="2:6" ht="14.45">
      <c r="B59" s="136"/>
      <c r="C59" s="28" t="s">
        <v>67</v>
      </c>
      <c r="D59" s="28" t="s">
        <v>2365</v>
      </c>
      <c r="E59" s="28" t="s">
        <v>2365</v>
      </c>
      <c r="F59" s="28" t="s">
        <v>2361</v>
      </c>
    </row>
    <row r="60" spans="2:6" ht="14.45">
      <c r="B60" s="136"/>
      <c r="C60" s="28" t="s">
        <v>69</v>
      </c>
      <c r="D60" s="28" t="s">
        <v>2366</v>
      </c>
      <c r="E60" s="28" t="s">
        <v>2366</v>
      </c>
      <c r="F60" s="28" t="s">
        <v>2361</v>
      </c>
    </row>
    <row r="61" spans="2:6" ht="14.45">
      <c r="B61" s="136"/>
      <c r="C61" s="28" t="s">
        <v>419</v>
      </c>
      <c r="D61" s="28" t="s">
        <v>2367</v>
      </c>
      <c r="E61" s="28" t="s">
        <v>2367</v>
      </c>
      <c r="F61" s="28" t="s">
        <v>2361</v>
      </c>
    </row>
    <row r="62" spans="2:6" ht="14.45">
      <c r="B62" s="136"/>
      <c r="C62" s="28" t="s">
        <v>59</v>
      </c>
      <c r="D62" s="28" t="s">
        <v>2368</v>
      </c>
      <c r="E62" s="28" t="s">
        <v>2368</v>
      </c>
      <c r="F62" s="28" t="s">
        <v>2361</v>
      </c>
    </row>
    <row r="63" spans="2:6" ht="14.45">
      <c r="B63" s="136"/>
      <c r="C63" s="28" t="s">
        <v>62</v>
      </c>
      <c r="D63" s="28" t="s">
        <v>2369</v>
      </c>
      <c r="E63" s="28" t="s">
        <v>2369</v>
      </c>
      <c r="F63" s="28" t="s">
        <v>2361</v>
      </c>
    </row>
    <row r="64" spans="2:6" ht="14.45">
      <c r="B64" s="136"/>
      <c r="C64" s="126" t="s">
        <v>63</v>
      </c>
      <c r="D64" s="28" t="s">
        <v>2370</v>
      </c>
      <c r="E64" s="28" t="s">
        <v>2370</v>
      </c>
      <c r="F64" s="28" t="s">
        <v>2361</v>
      </c>
    </row>
    <row r="65" spans="2:6" ht="14.45">
      <c r="B65" s="136"/>
      <c r="C65" s="28" t="s">
        <v>69</v>
      </c>
      <c r="D65" s="28" t="s">
        <v>2371</v>
      </c>
      <c r="E65" s="28" t="s">
        <v>2371</v>
      </c>
      <c r="F65" s="28" t="s">
        <v>2361</v>
      </c>
    </row>
    <row r="66" spans="2:6" ht="14.45">
      <c r="B66" s="136"/>
      <c r="C66" s="28" t="s">
        <v>419</v>
      </c>
      <c r="D66" s="28" t="s">
        <v>2372</v>
      </c>
      <c r="E66" s="28" t="s">
        <v>2372</v>
      </c>
      <c r="F66" s="28" t="s">
        <v>2361</v>
      </c>
    </row>
    <row r="67" spans="2:6" ht="14.85" customHeight="1">
      <c r="B67" s="311" t="s">
        <v>2373</v>
      </c>
      <c r="C67" s="311"/>
      <c r="D67" s="311"/>
      <c r="E67" s="311"/>
      <c r="F67" s="311"/>
    </row>
    <row r="68" spans="2:6" ht="14.45">
      <c r="B68" s="136" t="s">
        <v>2374</v>
      </c>
    </row>
    <row r="69" spans="2:6" ht="14.45">
      <c r="B69" s="28" t="s">
        <v>821</v>
      </c>
      <c r="C69" s="28" t="s">
        <v>59</v>
      </c>
      <c r="D69" s="156" t="s">
        <v>2375</v>
      </c>
      <c r="E69" s="28" t="s">
        <v>2375</v>
      </c>
      <c r="F69" s="28" t="s">
        <v>822</v>
      </c>
    </row>
    <row r="70" spans="2:6" ht="14.45">
      <c r="B70" s="28" t="s">
        <v>821</v>
      </c>
      <c r="C70" s="28" t="s">
        <v>62</v>
      </c>
      <c r="D70" s="156" t="s">
        <v>2376</v>
      </c>
      <c r="E70" s="28" t="s">
        <v>2376</v>
      </c>
      <c r="F70" s="28" t="s">
        <v>822</v>
      </c>
    </row>
    <row r="71" spans="2:6" ht="14.45">
      <c r="B71" s="28" t="s">
        <v>821</v>
      </c>
      <c r="C71" s="28" t="s">
        <v>63</v>
      </c>
      <c r="D71" s="156" t="s">
        <v>2377</v>
      </c>
      <c r="E71" s="28" t="s">
        <v>2377</v>
      </c>
      <c r="F71" s="28" t="s">
        <v>822</v>
      </c>
    </row>
    <row r="72" spans="2:6" ht="14.45">
      <c r="B72" s="28" t="s">
        <v>821</v>
      </c>
      <c r="C72" s="28" t="s">
        <v>65</v>
      </c>
      <c r="D72" s="156" t="s">
        <v>2378</v>
      </c>
      <c r="E72" s="28" t="s">
        <v>2378</v>
      </c>
      <c r="F72" s="28" t="s">
        <v>822</v>
      </c>
    </row>
    <row r="73" spans="2:6" ht="14.45">
      <c r="B73" s="28" t="s">
        <v>821</v>
      </c>
      <c r="C73" s="28" t="s">
        <v>67</v>
      </c>
      <c r="D73" s="156" t="s">
        <v>2379</v>
      </c>
      <c r="E73" s="28" t="s">
        <v>2379</v>
      </c>
      <c r="F73" s="28" t="s">
        <v>822</v>
      </c>
    </row>
    <row r="74" spans="2:6" ht="14.45">
      <c r="B74" s="28" t="s">
        <v>821</v>
      </c>
      <c r="C74" s="28" t="s">
        <v>69</v>
      </c>
      <c r="D74" s="156" t="s">
        <v>2380</v>
      </c>
      <c r="E74" s="28" t="s">
        <v>2380</v>
      </c>
      <c r="F74" s="28" t="s">
        <v>822</v>
      </c>
    </row>
    <row r="75" spans="2:6" ht="14.45">
      <c r="B75" s="28" t="s">
        <v>821</v>
      </c>
      <c r="C75" s="28" t="s">
        <v>419</v>
      </c>
      <c r="D75" s="156" t="s">
        <v>2381</v>
      </c>
      <c r="E75" s="28" t="s">
        <v>2381</v>
      </c>
      <c r="F75" s="28" t="s">
        <v>822</v>
      </c>
    </row>
    <row r="76" spans="2:6" ht="14.45">
      <c r="B76" s="28" t="s">
        <v>830</v>
      </c>
      <c r="C76" s="28" t="s">
        <v>59</v>
      </c>
      <c r="D76" s="156" t="s">
        <v>2382</v>
      </c>
      <c r="E76" s="28" t="s">
        <v>2382</v>
      </c>
      <c r="F76" s="28" t="s">
        <v>822</v>
      </c>
    </row>
    <row r="77" spans="2:6" ht="14.45">
      <c r="B77" s="28" t="s">
        <v>830</v>
      </c>
      <c r="C77" s="28" t="s">
        <v>62</v>
      </c>
      <c r="D77" s="156" t="s">
        <v>2383</v>
      </c>
      <c r="E77" s="28" t="s">
        <v>2383</v>
      </c>
      <c r="F77" s="28" t="s">
        <v>822</v>
      </c>
    </row>
    <row r="78" spans="2:6" ht="14.45">
      <c r="B78" s="28" t="s">
        <v>830</v>
      </c>
      <c r="C78" s="126" t="s">
        <v>63</v>
      </c>
      <c r="D78" s="156" t="s">
        <v>2384</v>
      </c>
      <c r="E78" s="28" t="s">
        <v>2384</v>
      </c>
      <c r="F78" s="28" t="s">
        <v>822</v>
      </c>
    </row>
    <row r="79" spans="2:6" ht="14.45">
      <c r="B79" s="28" t="s">
        <v>830</v>
      </c>
      <c r="C79" s="28" t="s">
        <v>69</v>
      </c>
      <c r="D79" s="156" t="s">
        <v>2385</v>
      </c>
      <c r="E79" s="28" t="s">
        <v>2385</v>
      </c>
      <c r="F79" s="28" t="s">
        <v>822</v>
      </c>
    </row>
    <row r="80" spans="2:6" ht="14.45">
      <c r="B80" s="28" t="s">
        <v>830</v>
      </c>
      <c r="C80" s="28" t="s">
        <v>419</v>
      </c>
      <c r="D80" s="156" t="s">
        <v>2386</v>
      </c>
      <c r="E80" s="28" t="s">
        <v>2386</v>
      </c>
      <c r="F80" s="28" t="s">
        <v>822</v>
      </c>
    </row>
    <row r="81" spans="1:6" ht="14.45">
      <c r="A81" t="s">
        <v>2387</v>
      </c>
      <c r="B81" s="311" t="s">
        <v>2388</v>
      </c>
      <c r="C81" s="311"/>
      <c r="D81" s="311"/>
      <c r="E81" s="311"/>
      <c r="F81" s="311"/>
    </row>
    <row r="82" spans="1:6" ht="14.45">
      <c r="B82" s="136" t="s">
        <v>2389</v>
      </c>
    </row>
    <row r="83" spans="1:6" ht="14.45">
      <c r="B83" s="28" t="s">
        <v>821</v>
      </c>
      <c r="C83" s="28" t="s">
        <v>59</v>
      </c>
      <c r="D83" s="28" t="s">
        <v>2390</v>
      </c>
      <c r="E83" s="28" t="s">
        <v>2390</v>
      </c>
      <c r="F83" s="28" t="s">
        <v>833</v>
      </c>
    </row>
    <row r="84" spans="1:6" ht="14.45">
      <c r="B84" s="28" t="s">
        <v>821</v>
      </c>
      <c r="C84" s="28" t="s">
        <v>62</v>
      </c>
      <c r="D84" s="28" t="s">
        <v>2391</v>
      </c>
      <c r="E84" s="28" t="s">
        <v>2391</v>
      </c>
      <c r="F84" s="28" t="s">
        <v>833</v>
      </c>
    </row>
    <row r="85" spans="1:6" ht="14.45">
      <c r="B85" s="28" t="s">
        <v>821</v>
      </c>
      <c r="C85" s="28" t="s">
        <v>63</v>
      </c>
      <c r="D85" s="28" t="s">
        <v>2392</v>
      </c>
      <c r="E85" s="28" t="s">
        <v>2392</v>
      </c>
      <c r="F85" s="28" t="s">
        <v>833</v>
      </c>
    </row>
    <row r="86" spans="1:6" ht="14.45">
      <c r="A86" s="171" t="s">
        <v>2393</v>
      </c>
      <c r="B86" s="28" t="s">
        <v>821</v>
      </c>
      <c r="C86" s="28" t="s">
        <v>65</v>
      </c>
      <c r="D86" s="28" t="s">
        <v>2394</v>
      </c>
      <c r="E86" s="28" t="s">
        <v>2394</v>
      </c>
      <c r="F86" s="28" t="s">
        <v>833</v>
      </c>
    </row>
    <row r="87" spans="1:6" ht="14.45">
      <c r="B87" s="28" t="s">
        <v>821</v>
      </c>
      <c r="C87" s="28" t="s">
        <v>67</v>
      </c>
      <c r="D87" s="28" t="s">
        <v>2395</v>
      </c>
      <c r="E87" s="28" t="s">
        <v>2395</v>
      </c>
      <c r="F87" s="28" t="s">
        <v>833</v>
      </c>
    </row>
    <row r="88" spans="1:6" ht="14.45">
      <c r="B88" s="28" t="s">
        <v>821</v>
      </c>
      <c r="C88" s="28" t="s">
        <v>69</v>
      </c>
      <c r="D88" s="28" t="s">
        <v>2396</v>
      </c>
      <c r="E88" s="28" t="s">
        <v>2396</v>
      </c>
      <c r="F88" s="28" t="s">
        <v>833</v>
      </c>
    </row>
    <row r="89" spans="1:6" ht="14.45">
      <c r="B89" s="28" t="s">
        <v>821</v>
      </c>
      <c r="C89" s="28" t="s">
        <v>419</v>
      </c>
      <c r="D89" s="28" t="s">
        <v>2397</v>
      </c>
      <c r="E89" s="28" t="s">
        <v>2397</v>
      </c>
      <c r="F89" s="28" t="s">
        <v>833</v>
      </c>
    </row>
    <row r="90" spans="1:6" ht="14.45">
      <c r="B90" s="28" t="s">
        <v>830</v>
      </c>
      <c r="C90" s="28" t="s">
        <v>59</v>
      </c>
      <c r="D90" s="28" t="s">
        <v>2398</v>
      </c>
      <c r="E90" s="28" t="s">
        <v>2398</v>
      </c>
      <c r="F90" s="28" t="s">
        <v>833</v>
      </c>
    </row>
    <row r="91" spans="1:6" ht="15" customHeight="1">
      <c r="B91" s="28" t="s">
        <v>830</v>
      </c>
      <c r="C91" s="28" t="s">
        <v>62</v>
      </c>
      <c r="D91" s="28" t="s">
        <v>2399</v>
      </c>
      <c r="E91" s="28" t="s">
        <v>2399</v>
      </c>
      <c r="F91" s="28" t="s">
        <v>833</v>
      </c>
    </row>
    <row r="92" spans="1:6" ht="15" customHeight="1">
      <c r="B92" s="28" t="s">
        <v>830</v>
      </c>
      <c r="C92" s="126" t="s">
        <v>63</v>
      </c>
      <c r="D92" s="28" t="s">
        <v>2400</v>
      </c>
      <c r="E92" s="28" t="s">
        <v>2400</v>
      </c>
      <c r="F92" s="28" t="s">
        <v>833</v>
      </c>
    </row>
    <row r="93" spans="1:6" ht="15" customHeight="1">
      <c r="B93" s="28" t="s">
        <v>830</v>
      </c>
      <c r="C93" s="28" t="s">
        <v>69</v>
      </c>
      <c r="D93" s="28" t="s">
        <v>2401</v>
      </c>
      <c r="E93" s="28" t="s">
        <v>2401</v>
      </c>
      <c r="F93" s="28" t="s">
        <v>833</v>
      </c>
    </row>
    <row r="94" spans="1:6" ht="15" customHeight="1">
      <c r="B94" s="28" t="s">
        <v>830</v>
      </c>
      <c r="C94" s="28" t="s">
        <v>419</v>
      </c>
      <c r="D94" s="28" t="s">
        <v>2402</v>
      </c>
      <c r="E94" s="28" t="s">
        <v>2402</v>
      </c>
      <c r="F94" s="28" t="s">
        <v>833</v>
      </c>
    </row>
    <row r="95" spans="1:6" ht="15" customHeight="1">
      <c r="A95" t="s">
        <v>2403</v>
      </c>
      <c r="B95" s="311" t="s">
        <v>2404</v>
      </c>
      <c r="C95" s="311"/>
      <c r="D95" s="311"/>
      <c r="E95" s="311"/>
      <c r="F95" s="311"/>
    </row>
    <row r="96" spans="1:6" ht="15" customHeight="1">
      <c r="B96" s="136" t="s">
        <v>2405</v>
      </c>
    </row>
    <row r="97" spans="1:6" ht="15" customHeight="1">
      <c r="B97" s="28" t="s">
        <v>821</v>
      </c>
      <c r="C97" s="28" t="s">
        <v>59</v>
      </c>
      <c r="D97" s="28" t="s">
        <v>2406</v>
      </c>
      <c r="E97" s="28" t="s">
        <v>2406</v>
      </c>
      <c r="F97" s="28" t="s">
        <v>843</v>
      </c>
    </row>
    <row r="98" spans="1:6" ht="15" customHeight="1">
      <c r="B98" s="28" t="s">
        <v>821</v>
      </c>
      <c r="C98" s="28" t="s">
        <v>62</v>
      </c>
      <c r="D98" s="28" t="s">
        <v>2407</v>
      </c>
      <c r="E98" s="28" t="s">
        <v>2407</v>
      </c>
      <c r="F98" s="28" t="s">
        <v>843</v>
      </c>
    </row>
    <row r="99" spans="1:6" ht="15" customHeight="1">
      <c r="B99" s="28" t="s">
        <v>821</v>
      </c>
      <c r="C99" s="28" t="s">
        <v>63</v>
      </c>
      <c r="D99" s="28" t="s">
        <v>2408</v>
      </c>
      <c r="E99" s="28" t="s">
        <v>2408</v>
      </c>
      <c r="F99" s="28" t="s">
        <v>843</v>
      </c>
    </row>
    <row r="100" spans="1:6" ht="15" customHeight="1">
      <c r="B100" s="28" t="s">
        <v>821</v>
      </c>
      <c r="C100" s="28" t="s">
        <v>847</v>
      </c>
      <c r="D100" s="28" t="s">
        <v>2409</v>
      </c>
      <c r="E100" s="28" t="s">
        <v>2409</v>
      </c>
      <c r="F100" s="28" t="s">
        <v>843</v>
      </c>
    </row>
    <row r="101" spans="1:6" ht="15" customHeight="1">
      <c r="B101" s="28" t="s">
        <v>821</v>
      </c>
      <c r="C101" s="28" t="s">
        <v>67</v>
      </c>
      <c r="D101" s="28" t="s">
        <v>2410</v>
      </c>
      <c r="E101" s="28" t="s">
        <v>2410</v>
      </c>
      <c r="F101" s="28" t="s">
        <v>843</v>
      </c>
    </row>
    <row r="102" spans="1:6" ht="15" customHeight="1">
      <c r="B102" s="28" t="s">
        <v>821</v>
      </c>
      <c r="C102" s="28" t="s">
        <v>69</v>
      </c>
      <c r="D102" s="28" t="s">
        <v>2411</v>
      </c>
      <c r="E102" s="28" t="s">
        <v>2411</v>
      </c>
      <c r="F102" s="28" t="s">
        <v>843</v>
      </c>
    </row>
    <row r="103" spans="1:6" ht="15" customHeight="1">
      <c r="B103" s="28" t="s">
        <v>821</v>
      </c>
      <c r="C103" s="28" t="s">
        <v>419</v>
      </c>
      <c r="D103" s="28" t="s">
        <v>2412</v>
      </c>
      <c r="E103" s="28" t="s">
        <v>2412</v>
      </c>
      <c r="F103" s="28" t="s">
        <v>843</v>
      </c>
    </row>
    <row r="104" spans="1:6" ht="15" customHeight="1">
      <c r="B104" s="28" t="s">
        <v>830</v>
      </c>
      <c r="C104" s="28" t="s">
        <v>59</v>
      </c>
      <c r="D104" s="28" t="s">
        <v>2413</v>
      </c>
      <c r="E104" s="28" t="s">
        <v>2413</v>
      </c>
      <c r="F104" s="28" t="s">
        <v>843</v>
      </c>
    </row>
    <row r="105" spans="1:6" ht="15" customHeight="1">
      <c r="B105" s="28" t="s">
        <v>830</v>
      </c>
      <c r="C105" s="28" t="s">
        <v>62</v>
      </c>
      <c r="D105" s="28" t="s">
        <v>2414</v>
      </c>
      <c r="E105" s="28" t="s">
        <v>2414</v>
      </c>
      <c r="F105" s="28" t="s">
        <v>843</v>
      </c>
    </row>
    <row r="106" spans="1:6" ht="15" customHeight="1">
      <c r="B106" s="28" t="s">
        <v>830</v>
      </c>
      <c r="C106" s="126" t="s">
        <v>63</v>
      </c>
      <c r="D106" s="28" t="s">
        <v>2415</v>
      </c>
      <c r="E106" s="28" t="s">
        <v>2415</v>
      </c>
      <c r="F106" s="28" t="s">
        <v>843</v>
      </c>
    </row>
    <row r="107" spans="1:6" ht="15" customHeight="1">
      <c r="B107" s="28" t="s">
        <v>830</v>
      </c>
      <c r="C107" s="28" t="s">
        <v>69</v>
      </c>
      <c r="D107" s="28" t="s">
        <v>2416</v>
      </c>
      <c r="E107" s="28" t="s">
        <v>2416</v>
      </c>
      <c r="F107" s="28" t="s">
        <v>843</v>
      </c>
    </row>
    <row r="108" spans="1:6" ht="15" customHeight="1">
      <c r="B108" s="28" t="s">
        <v>830</v>
      </c>
      <c r="C108" s="28" t="s">
        <v>419</v>
      </c>
      <c r="D108" s="28" t="s">
        <v>2417</v>
      </c>
      <c r="E108" s="28" t="s">
        <v>2417</v>
      </c>
      <c r="F108" s="28" t="s">
        <v>843</v>
      </c>
    </row>
    <row r="109" spans="1:6" ht="15" customHeight="1">
      <c r="B109" s="311" t="s">
        <v>2418</v>
      </c>
      <c r="C109" s="311"/>
      <c r="D109" s="311"/>
      <c r="E109" s="311"/>
      <c r="F109" s="311"/>
    </row>
    <row r="110" spans="1:6" ht="15" customHeight="1">
      <c r="A110" t="s">
        <v>2419</v>
      </c>
      <c r="B110" s="204" t="s">
        <v>2420</v>
      </c>
      <c r="C110" s="204"/>
      <c r="D110" s="204"/>
      <c r="E110" s="204"/>
      <c r="F110" s="204"/>
    </row>
    <row r="111" spans="1:6" ht="15" customHeight="1">
      <c r="B111" s="28" t="s">
        <v>821</v>
      </c>
      <c r="C111" s="28" t="s">
        <v>59</v>
      </c>
      <c r="D111" s="28" t="s">
        <v>2421</v>
      </c>
      <c r="E111" s="28" t="s">
        <v>2421</v>
      </c>
      <c r="F111" s="28" t="s">
        <v>854</v>
      </c>
    </row>
    <row r="112" spans="1:6" ht="15" customHeight="1">
      <c r="B112" s="28" t="s">
        <v>821</v>
      </c>
      <c r="C112" s="28" t="s">
        <v>62</v>
      </c>
      <c r="D112" s="28" t="s">
        <v>2422</v>
      </c>
      <c r="E112" s="28" t="s">
        <v>2422</v>
      </c>
      <c r="F112" s="28" t="s">
        <v>854</v>
      </c>
    </row>
    <row r="113" spans="1:7" ht="15" customHeight="1">
      <c r="B113" s="28" t="s">
        <v>821</v>
      </c>
      <c r="C113" s="28" t="s">
        <v>63</v>
      </c>
      <c r="D113" s="28" t="s">
        <v>2423</v>
      </c>
      <c r="E113" s="28" t="s">
        <v>2423</v>
      </c>
      <c r="F113" s="28" t="s">
        <v>854</v>
      </c>
    </row>
    <row r="114" spans="1:7" ht="15" customHeight="1">
      <c r="B114" s="28" t="s">
        <v>821</v>
      </c>
      <c r="C114" s="28" t="s">
        <v>847</v>
      </c>
      <c r="D114" s="28" t="s">
        <v>2424</v>
      </c>
      <c r="E114" s="28" t="s">
        <v>2424</v>
      </c>
      <c r="F114" s="28" t="s">
        <v>854</v>
      </c>
    </row>
    <row r="115" spans="1:7" ht="15" customHeight="1">
      <c r="B115" s="28" t="s">
        <v>821</v>
      </c>
      <c r="C115" s="28" t="s">
        <v>67</v>
      </c>
      <c r="D115" s="28" t="s">
        <v>2425</v>
      </c>
      <c r="E115" s="28" t="s">
        <v>2425</v>
      </c>
      <c r="F115" s="28" t="s">
        <v>854</v>
      </c>
    </row>
    <row r="116" spans="1:7" ht="15" customHeight="1">
      <c r="B116" s="28" t="s">
        <v>821</v>
      </c>
      <c r="C116" s="28" t="s">
        <v>69</v>
      </c>
      <c r="D116" s="28" t="s">
        <v>2426</v>
      </c>
      <c r="E116" s="28" t="s">
        <v>2426</v>
      </c>
      <c r="F116" s="28" t="s">
        <v>854</v>
      </c>
    </row>
    <row r="117" spans="1:7" ht="15" customHeight="1">
      <c r="B117" s="28" t="s">
        <v>821</v>
      </c>
      <c r="C117" s="28" t="s">
        <v>419</v>
      </c>
      <c r="D117" s="28" t="s">
        <v>2427</v>
      </c>
      <c r="E117" s="28" t="s">
        <v>2427</v>
      </c>
      <c r="F117" s="28" t="s">
        <v>854</v>
      </c>
    </row>
    <row r="118" spans="1:7" ht="15" customHeight="1">
      <c r="B118" s="28" t="s">
        <v>830</v>
      </c>
      <c r="C118" s="28" t="s">
        <v>59</v>
      </c>
      <c r="D118" s="28" t="s">
        <v>2428</v>
      </c>
      <c r="E118" s="28" t="s">
        <v>2428</v>
      </c>
      <c r="F118" s="28" t="s">
        <v>854</v>
      </c>
    </row>
    <row r="119" spans="1:7" ht="15" customHeight="1">
      <c r="B119" s="28" t="s">
        <v>830</v>
      </c>
      <c r="C119" s="28" t="s">
        <v>62</v>
      </c>
      <c r="D119" s="28" t="s">
        <v>2429</v>
      </c>
      <c r="E119" s="28" t="s">
        <v>2429</v>
      </c>
      <c r="F119" s="28" t="s">
        <v>854</v>
      </c>
    </row>
    <row r="120" spans="1:7" ht="15" customHeight="1">
      <c r="B120" s="28" t="s">
        <v>830</v>
      </c>
      <c r="C120" s="126" t="s">
        <v>63</v>
      </c>
      <c r="D120" s="28" t="s">
        <v>2430</v>
      </c>
      <c r="E120" s="28" t="s">
        <v>2430</v>
      </c>
      <c r="F120" s="28" t="s">
        <v>854</v>
      </c>
    </row>
    <row r="121" spans="1:7" ht="15" customHeight="1">
      <c r="B121" s="28" t="s">
        <v>830</v>
      </c>
      <c r="C121" s="28" t="s">
        <v>69</v>
      </c>
      <c r="D121" s="28" t="s">
        <v>2431</v>
      </c>
      <c r="E121" s="28" t="s">
        <v>2431</v>
      </c>
      <c r="F121" s="28" t="s">
        <v>854</v>
      </c>
    </row>
    <row r="122" spans="1:7" ht="15" customHeight="1">
      <c r="B122" s="28" t="s">
        <v>830</v>
      </c>
      <c r="C122" s="28" t="s">
        <v>419</v>
      </c>
      <c r="D122" s="28" t="s">
        <v>2432</v>
      </c>
      <c r="E122" s="28" t="s">
        <v>2432</v>
      </c>
      <c r="F122" s="28" t="s">
        <v>854</v>
      </c>
    </row>
    <row r="123" spans="1:7" ht="15" hidden="1" customHeight="1">
      <c r="A123" s="204">
        <v>2025</v>
      </c>
    </row>
    <row r="124" spans="1:7" ht="15" hidden="1" customHeight="1">
      <c r="A124" s="313" t="s">
        <v>2433</v>
      </c>
      <c r="B124" s="313"/>
      <c r="C124" s="228" t="s">
        <v>2434</v>
      </c>
      <c r="D124" s="229" t="s">
        <v>2435</v>
      </c>
      <c r="E124" s="229" t="s">
        <v>2436</v>
      </c>
      <c r="F124" s="229" t="s">
        <v>2437</v>
      </c>
      <c r="G124" s="229" t="s">
        <v>2438</v>
      </c>
    </row>
    <row r="125" spans="1:7" ht="15" hidden="1" customHeight="1">
      <c r="A125" s="243" t="s">
        <v>821</v>
      </c>
      <c r="B125" s="243" t="s">
        <v>59</v>
      </c>
      <c r="C125" s="244">
        <v>300</v>
      </c>
      <c r="D125" s="244">
        <v>39</v>
      </c>
      <c r="E125" s="244">
        <v>2</v>
      </c>
      <c r="F125" s="244">
        <v>8</v>
      </c>
      <c r="G125" s="244">
        <v>15</v>
      </c>
    </row>
    <row r="126" spans="1:7" ht="15" hidden="1" customHeight="1">
      <c r="A126" s="243" t="s">
        <v>821</v>
      </c>
      <c r="B126" s="243" t="s">
        <v>62</v>
      </c>
      <c r="C126" s="244">
        <v>300</v>
      </c>
      <c r="D126" s="244">
        <v>4</v>
      </c>
      <c r="E126" s="244">
        <v>2</v>
      </c>
      <c r="F126" s="244">
        <v>1</v>
      </c>
      <c r="G126" s="244">
        <v>9</v>
      </c>
    </row>
    <row r="127" spans="1:7" ht="15" hidden="1" customHeight="1">
      <c r="A127" s="243" t="s">
        <v>821</v>
      </c>
      <c r="B127" s="243" t="s">
        <v>63</v>
      </c>
      <c r="C127" s="244">
        <v>300</v>
      </c>
      <c r="D127" s="244">
        <v>13</v>
      </c>
      <c r="E127" s="244">
        <v>1</v>
      </c>
      <c r="F127" s="244">
        <v>17</v>
      </c>
      <c r="G127" s="244">
        <v>35</v>
      </c>
    </row>
    <row r="128" spans="1:7" ht="15" hidden="1" customHeight="1">
      <c r="A128" s="243" t="s">
        <v>821</v>
      </c>
      <c r="B128" s="243" t="s">
        <v>847</v>
      </c>
      <c r="C128" s="244">
        <v>300</v>
      </c>
      <c r="D128" s="244">
        <v>19</v>
      </c>
      <c r="E128" s="244">
        <v>31</v>
      </c>
      <c r="F128" s="244">
        <v>15</v>
      </c>
      <c r="G128" s="244">
        <v>49</v>
      </c>
    </row>
    <row r="129" spans="1:7" ht="15" hidden="1" customHeight="1">
      <c r="A129" s="243" t="s">
        <v>821</v>
      </c>
      <c r="B129" s="243" t="s">
        <v>67</v>
      </c>
      <c r="C129" s="244">
        <v>300</v>
      </c>
      <c r="D129" s="244">
        <v>94</v>
      </c>
      <c r="E129" s="244">
        <v>34</v>
      </c>
      <c r="F129" s="244">
        <v>0</v>
      </c>
      <c r="G129" s="244">
        <v>16</v>
      </c>
    </row>
    <row r="130" spans="1:7" ht="15" hidden="1" customHeight="1">
      <c r="A130" s="243" t="s">
        <v>821</v>
      </c>
      <c r="B130" s="243" t="s">
        <v>69</v>
      </c>
      <c r="C130" s="244">
        <v>300</v>
      </c>
      <c r="D130" s="244">
        <v>139</v>
      </c>
      <c r="E130" s="244">
        <v>79</v>
      </c>
      <c r="F130" s="244">
        <v>53</v>
      </c>
      <c r="G130" s="244">
        <v>65</v>
      </c>
    </row>
    <row r="131" spans="1:7" ht="15" hidden="1" customHeight="1">
      <c r="A131" s="243" t="s">
        <v>821</v>
      </c>
      <c r="B131" s="243" t="s">
        <v>419</v>
      </c>
      <c r="C131" s="244">
        <v>300</v>
      </c>
      <c r="D131" s="244">
        <v>90</v>
      </c>
      <c r="E131" s="244">
        <v>32</v>
      </c>
      <c r="F131" s="244">
        <v>204</v>
      </c>
      <c r="G131" s="244">
        <v>168</v>
      </c>
    </row>
    <row r="132" spans="1:7" ht="15" hidden="1" customHeight="1">
      <c r="A132" s="243" t="s">
        <v>830</v>
      </c>
      <c r="B132" s="243" t="s">
        <v>59</v>
      </c>
      <c r="C132" s="244">
        <v>300</v>
      </c>
      <c r="D132" s="244">
        <v>47</v>
      </c>
      <c r="E132" s="244">
        <v>21</v>
      </c>
      <c r="F132" s="244">
        <v>151</v>
      </c>
      <c r="G132" s="244">
        <v>49</v>
      </c>
    </row>
    <row r="133" spans="1:7" ht="15" hidden="1" customHeight="1">
      <c r="A133" s="243" t="s">
        <v>830</v>
      </c>
      <c r="B133" s="243" t="s">
        <v>62</v>
      </c>
      <c r="C133" s="244">
        <v>300</v>
      </c>
      <c r="D133" s="244">
        <v>3</v>
      </c>
      <c r="E133" s="244">
        <v>8</v>
      </c>
      <c r="F133" s="244">
        <v>6</v>
      </c>
      <c r="G133" s="244">
        <v>3</v>
      </c>
    </row>
    <row r="134" spans="1:7" ht="15" hidden="1" customHeight="1">
      <c r="A134" s="243" t="s">
        <v>830</v>
      </c>
      <c r="B134" s="230" t="s">
        <v>63</v>
      </c>
      <c r="C134" s="244">
        <v>300</v>
      </c>
      <c r="D134" s="244">
        <v>12</v>
      </c>
      <c r="E134" s="244">
        <v>0</v>
      </c>
      <c r="F134" s="244">
        <v>12</v>
      </c>
      <c r="G134" s="244">
        <v>6</v>
      </c>
    </row>
    <row r="135" spans="1:7" ht="15" hidden="1" customHeight="1">
      <c r="A135" s="243" t="s">
        <v>830</v>
      </c>
      <c r="B135" s="243" t="s">
        <v>69</v>
      </c>
      <c r="C135" s="244">
        <v>300</v>
      </c>
      <c r="D135" s="244">
        <v>166</v>
      </c>
      <c r="E135" s="244">
        <v>103</v>
      </c>
      <c r="F135" s="244">
        <v>69</v>
      </c>
      <c r="G135" s="244">
        <v>48</v>
      </c>
    </row>
    <row r="136" spans="1:7" ht="15" hidden="1" customHeight="1">
      <c r="A136" s="243" t="s">
        <v>830</v>
      </c>
      <c r="B136" s="243" t="s">
        <v>419</v>
      </c>
      <c r="C136" s="244">
        <v>300</v>
      </c>
      <c r="D136" s="244">
        <v>48</v>
      </c>
      <c r="E136" s="244">
        <v>36</v>
      </c>
      <c r="F136" s="244">
        <v>190</v>
      </c>
      <c r="G136" s="244">
        <v>122</v>
      </c>
    </row>
    <row r="137" spans="1:7" ht="15" hidden="1" customHeight="1"/>
    <row r="138" spans="1:7" ht="15" hidden="1" customHeight="1"/>
    <row r="139" spans="1:7" ht="15" customHeight="1">
      <c r="B139" s="309" t="s">
        <v>2439</v>
      </c>
      <c r="C139" s="309"/>
      <c r="D139" s="309"/>
      <c r="E139" s="309"/>
      <c r="F139" s="309"/>
    </row>
    <row r="140" spans="1:7" ht="15" customHeight="1">
      <c r="A140" t="s">
        <v>2440</v>
      </c>
      <c r="B140" s="204" t="s">
        <v>2441</v>
      </c>
      <c r="C140" s="169" t="s">
        <v>2286</v>
      </c>
      <c r="D140" s="169" t="s">
        <v>2323</v>
      </c>
      <c r="E140" s="124" t="s">
        <v>2324</v>
      </c>
      <c r="F140" s="124" t="s">
        <v>2325</v>
      </c>
    </row>
    <row r="141" spans="1:7" ht="15" customHeight="1">
      <c r="A141" t="s">
        <v>2442</v>
      </c>
      <c r="B141" s="28" t="s">
        <v>821</v>
      </c>
      <c r="C141" s="28" t="s">
        <v>59</v>
      </c>
      <c r="D141" s="28" t="s">
        <v>1159</v>
      </c>
      <c r="E141" s="28" t="s">
        <v>1159</v>
      </c>
      <c r="F141" s="28" t="s">
        <v>2443</v>
      </c>
    </row>
    <row r="142" spans="1:7" ht="15" customHeight="1">
      <c r="B142" s="28" t="s">
        <v>821</v>
      </c>
      <c r="C142" s="28" t="s">
        <v>62</v>
      </c>
      <c r="D142" s="28" t="s">
        <v>1160</v>
      </c>
      <c r="E142" s="28" t="s">
        <v>1160</v>
      </c>
      <c r="F142" s="28" t="s">
        <v>2443</v>
      </c>
    </row>
    <row r="143" spans="1:7" ht="15" customHeight="1">
      <c r="B143" s="28" t="s">
        <v>821</v>
      </c>
      <c r="C143" s="28" t="s">
        <v>63</v>
      </c>
      <c r="D143" s="28" t="s">
        <v>1161</v>
      </c>
      <c r="E143" s="28" t="s">
        <v>1161</v>
      </c>
      <c r="F143" s="28" t="s">
        <v>2443</v>
      </c>
    </row>
    <row r="144" spans="1:7" ht="15" customHeight="1">
      <c r="B144" s="28" t="s">
        <v>821</v>
      </c>
      <c r="C144" s="28" t="s">
        <v>847</v>
      </c>
      <c r="D144" s="28" t="s">
        <v>1162</v>
      </c>
      <c r="E144" s="28" t="s">
        <v>1162</v>
      </c>
      <c r="F144" s="28" t="s">
        <v>2443</v>
      </c>
    </row>
    <row r="145" spans="1:6" ht="15" customHeight="1">
      <c r="B145" s="28" t="s">
        <v>821</v>
      </c>
      <c r="C145" s="28" t="s">
        <v>67</v>
      </c>
      <c r="D145" s="28" t="s">
        <v>1163</v>
      </c>
      <c r="E145" s="28" t="s">
        <v>1163</v>
      </c>
      <c r="F145" s="28" t="s">
        <v>2443</v>
      </c>
    </row>
    <row r="146" spans="1:6" ht="15" customHeight="1">
      <c r="B146" s="28" t="s">
        <v>821</v>
      </c>
      <c r="C146" s="28" t="s">
        <v>69</v>
      </c>
      <c r="D146" s="28" t="s">
        <v>1164</v>
      </c>
      <c r="E146" s="28" t="s">
        <v>1164</v>
      </c>
      <c r="F146" s="28" t="s">
        <v>2443</v>
      </c>
    </row>
    <row r="147" spans="1:6" ht="15" customHeight="1">
      <c r="B147" s="28" t="s">
        <v>821</v>
      </c>
      <c r="C147" s="28" t="s">
        <v>419</v>
      </c>
      <c r="D147" s="28" t="s">
        <v>1165</v>
      </c>
      <c r="E147" s="28" t="s">
        <v>1165</v>
      </c>
      <c r="F147" s="28" t="s">
        <v>2443</v>
      </c>
    </row>
    <row r="148" spans="1:6" ht="15" customHeight="1">
      <c r="B148" s="28" t="s">
        <v>830</v>
      </c>
      <c r="C148" s="28" t="s">
        <v>59</v>
      </c>
      <c r="D148" s="28" t="s">
        <v>1166</v>
      </c>
      <c r="E148" s="28" t="s">
        <v>1166</v>
      </c>
      <c r="F148" s="28" t="s">
        <v>2443</v>
      </c>
    </row>
    <row r="149" spans="1:6" ht="15" customHeight="1">
      <c r="B149" s="28" t="s">
        <v>830</v>
      </c>
      <c r="C149" s="28" t="s">
        <v>62</v>
      </c>
      <c r="D149" s="28" t="s">
        <v>1167</v>
      </c>
      <c r="E149" s="28" t="s">
        <v>1167</v>
      </c>
      <c r="F149" s="28" t="s">
        <v>2443</v>
      </c>
    </row>
    <row r="150" spans="1:6" ht="15" customHeight="1">
      <c r="B150" s="28" t="s">
        <v>830</v>
      </c>
      <c r="C150" s="126" t="s">
        <v>63</v>
      </c>
      <c r="D150" s="28" t="s">
        <v>1168</v>
      </c>
      <c r="E150" s="28" t="s">
        <v>1168</v>
      </c>
      <c r="F150" s="28" t="s">
        <v>2443</v>
      </c>
    </row>
    <row r="151" spans="1:6" ht="15" customHeight="1">
      <c r="B151" s="28" t="s">
        <v>830</v>
      </c>
      <c r="C151" s="28" t="s">
        <v>69</v>
      </c>
      <c r="D151" s="28" t="s">
        <v>1169</v>
      </c>
      <c r="E151" s="28" t="s">
        <v>1169</v>
      </c>
      <c r="F151" s="28" t="s">
        <v>2443</v>
      </c>
    </row>
    <row r="152" spans="1:6" ht="15" customHeight="1">
      <c r="B152" s="28" t="s">
        <v>830</v>
      </c>
      <c r="C152" s="28" t="s">
        <v>419</v>
      </c>
      <c r="D152" s="28" t="s">
        <v>1170</v>
      </c>
      <c r="E152" s="28" t="s">
        <v>1170</v>
      </c>
      <c r="F152" s="28" t="s">
        <v>2443</v>
      </c>
    </row>
    <row r="153" spans="1:6" ht="15" customHeight="1">
      <c r="A153" t="s">
        <v>2440</v>
      </c>
      <c r="B153" s="309" t="s">
        <v>2444</v>
      </c>
      <c r="C153" s="309"/>
      <c r="D153" s="309"/>
      <c r="E153" s="309"/>
      <c r="F153" s="309"/>
    </row>
    <row r="154" spans="1:6" ht="15" customHeight="1">
      <c r="A154" s="289" t="s">
        <v>2445</v>
      </c>
      <c r="B154" s="204" t="s">
        <v>2446</v>
      </c>
      <c r="C154" s="169" t="s">
        <v>2286</v>
      </c>
      <c r="D154" s="169" t="s">
        <v>2323</v>
      </c>
      <c r="E154" s="124" t="s">
        <v>2324</v>
      </c>
      <c r="F154" s="124" t="s">
        <v>2325</v>
      </c>
    </row>
    <row r="155" spans="1:6" ht="15" customHeight="1">
      <c r="B155" s="28" t="s">
        <v>821</v>
      </c>
      <c r="C155" s="28" t="s">
        <v>59</v>
      </c>
      <c r="D155" s="28" t="s">
        <v>1171</v>
      </c>
      <c r="E155" s="28" t="s">
        <v>1171</v>
      </c>
      <c r="F155" s="28" t="s">
        <v>2447</v>
      </c>
    </row>
    <row r="156" spans="1:6" ht="15" customHeight="1">
      <c r="B156" s="28" t="s">
        <v>821</v>
      </c>
      <c r="C156" s="28" t="s">
        <v>62</v>
      </c>
      <c r="D156" s="28" t="s">
        <v>1172</v>
      </c>
      <c r="E156" s="28" t="s">
        <v>1172</v>
      </c>
      <c r="F156" s="28" t="s">
        <v>2447</v>
      </c>
    </row>
    <row r="157" spans="1:6" ht="15" customHeight="1">
      <c r="B157" s="28" t="s">
        <v>821</v>
      </c>
      <c r="C157" s="28" t="s">
        <v>63</v>
      </c>
      <c r="D157" s="28" t="s">
        <v>1173</v>
      </c>
      <c r="E157" s="28" t="s">
        <v>1173</v>
      </c>
      <c r="F157" s="28" t="s">
        <v>2447</v>
      </c>
    </row>
    <row r="158" spans="1:6" ht="15" customHeight="1">
      <c r="B158" s="28" t="s">
        <v>821</v>
      </c>
      <c r="C158" s="28" t="s">
        <v>847</v>
      </c>
      <c r="D158" s="28" t="s">
        <v>1174</v>
      </c>
      <c r="E158" s="28" t="s">
        <v>1174</v>
      </c>
      <c r="F158" s="28" t="s">
        <v>2447</v>
      </c>
    </row>
    <row r="159" spans="1:6" ht="15" customHeight="1">
      <c r="B159" s="28" t="s">
        <v>821</v>
      </c>
      <c r="C159" s="28" t="s">
        <v>67</v>
      </c>
      <c r="D159" s="28" t="s">
        <v>1175</v>
      </c>
      <c r="E159" s="28" t="s">
        <v>1175</v>
      </c>
      <c r="F159" s="28" t="s">
        <v>2447</v>
      </c>
    </row>
    <row r="160" spans="1:6" ht="15" customHeight="1">
      <c r="B160" s="28" t="s">
        <v>821</v>
      </c>
      <c r="C160" s="28" t="s">
        <v>69</v>
      </c>
      <c r="D160" s="28" t="s">
        <v>1176</v>
      </c>
      <c r="E160" s="28" t="s">
        <v>1176</v>
      </c>
      <c r="F160" s="28" t="s">
        <v>2447</v>
      </c>
    </row>
    <row r="161" spans="2:6" ht="15" customHeight="1">
      <c r="B161" s="28" t="s">
        <v>821</v>
      </c>
      <c r="C161" s="28" t="s">
        <v>419</v>
      </c>
      <c r="D161" s="28" t="s">
        <v>1177</v>
      </c>
      <c r="E161" s="28" t="s">
        <v>1177</v>
      </c>
      <c r="F161" s="28" t="s">
        <v>2447</v>
      </c>
    </row>
    <row r="162" spans="2:6" ht="15" customHeight="1">
      <c r="B162" s="28" t="s">
        <v>830</v>
      </c>
      <c r="C162" s="28" t="s">
        <v>59</v>
      </c>
      <c r="D162" s="28" t="s">
        <v>1178</v>
      </c>
      <c r="E162" s="28" t="s">
        <v>1178</v>
      </c>
      <c r="F162" s="28" t="s">
        <v>2447</v>
      </c>
    </row>
    <row r="163" spans="2:6" ht="15" customHeight="1">
      <c r="B163" s="28" t="s">
        <v>830</v>
      </c>
      <c r="C163" s="28" t="s">
        <v>62</v>
      </c>
      <c r="D163" s="28" t="s">
        <v>1179</v>
      </c>
      <c r="E163" s="28" t="s">
        <v>1179</v>
      </c>
      <c r="F163" s="28" t="s">
        <v>2447</v>
      </c>
    </row>
    <row r="164" spans="2:6" ht="15" customHeight="1">
      <c r="B164" s="28" t="s">
        <v>830</v>
      </c>
      <c r="C164" s="126" t="s">
        <v>63</v>
      </c>
      <c r="D164" s="28" t="s">
        <v>1180</v>
      </c>
      <c r="E164" s="28" t="s">
        <v>1180</v>
      </c>
      <c r="F164" s="28" t="s">
        <v>2447</v>
      </c>
    </row>
    <row r="165" spans="2:6" ht="15" customHeight="1">
      <c r="B165" s="28" t="s">
        <v>830</v>
      </c>
      <c r="C165" s="28" t="s">
        <v>69</v>
      </c>
      <c r="D165" s="28" t="s">
        <v>1181</v>
      </c>
      <c r="E165" s="28" t="s">
        <v>1181</v>
      </c>
      <c r="F165" s="28" t="s">
        <v>2447</v>
      </c>
    </row>
    <row r="166" spans="2:6" ht="15" customHeight="1">
      <c r="B166" s="28" t="s">
        <v>830</v>
      </c>
      <c r="C166" s="28" t="s">
        <v>419</v>
      </c>
      <c r="D166" s="28" t="s">
        <v>1182</v>
      </c>
      <c r="E166" s="28" t="s">
        <v>1182</v>
      </c>
      <c r="F166" s="28" t="s">
        <v>2447</v>
      </c>
    </row>
  </sheetData>
  <mergeCells count="12">
    <mergeCell ref="B153:F153"/>
    <mergeCell ref="A1:H1"/>
    <mergeCell ref="B109:F109"/>
    <mergeCell ref="B95:F95"/>
    <mergeCell ref="B81:F81"/>
    <mergeCell ref="B67:F67"/>
    <mergeCell ref="B54:F54"/>
    <mergeCell ref="B139:F139"/>
    <mergeCell ref="A124:B124"/>
    <mergeCell ref="B28:F28"/>
    <mergeCell ref="B41:F41"/>
    <mergeCell ref="A26:F26"/>
  </mergeCells>
  <dataValidations disablePrompts="1" count="1">
    <dataValidation allowBlank="1" showInputMessage="1" showErrorMessage="1" sqref="C29:C40 C42:C53 C55:C66 C69:C80 C83:C94 C97:C108 C111:C122 B125:B136 C141:C152 C155:C166" xr:uid="{85C205B6-300B-4F72-A521-252D37DB4A35}"/>
  </dataValidations>
  <hyperlinks>
    <hyperlink ref="D20" r:id="rId1" location="/?coupons#couponeditor!mode!edit!id!SP2025-TC-ABANDONCART-BLOOMREACH" xr:uid="{16AA84E3-5B1D-4636-AF93-614ED21C3290}"/>
  </hyperlinks>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EFDAD6E-02AA-4811-AFE7-87014B79DD36}">
          <x14:formula1>
            <xm:f>'DON''T DELETE'!$A$29:$A$44</xm:f>
          </x14:formula1>
          <xm:sqref>B69:B80 B83:B94 B97:B108 B111:B122 B141:B152 B155:B166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BD601-2725-4B64-8157-0A24662D8CBB}">
  <dimension ref="A1:D27"/>
  <sheetViews>
    <sheetView topLeftCell="A8" workbookViewId="0">
      <selection activeCell="D19" sqref="D19"/>
    </sheetView>
  </sheetViews>
  <sheetFormatPr defaultColWidth="8.85546875" defaultRowHeight="14.45"/>
  <cols>
    <col min="1" max="1" width="26.42578125" customWidth="1"/>
    <col min="2" max="2" width="21.42578125" customWidth="1"/>
    <col min="3" max="3" width="17" customWidth="1"/>
    <col min="4" max="4" width="19.42578125" customWidth="1"/>
  </cols>
  <sheetData>
    <row r="1" spans="1:4">
      <c r="A1" s="154" t="s">
        <v>2448</v>
      </c>
      <c r="B1" s="155" t="s">
        <v>2449</v>
      </c>
      <c r="C1" s="155" t="s">
        <v>2450</v>
      </c>
      <c r="D1" s="155" t="s">
        <v>2451</v>
      </c>
    </row>
    <row r="2" spans="1:4">
      <c r="A2" t="s">
        <v>2452</v>
      </c>
      <c r="B2" t="s">
        <v>2453</v>
      </c>
      <c r="C2" s="129">
        <v>45575</v>
      </c>
      <c r="D2" t="s">
        <v>705</v>
      </c>
    </row>
    <row r="3" spans="1:4">
      <c r="A3" t="s">
        <v>2454</v>
      </c>
    </row>
    <row r="4" spans="1:4">
      <c r="A4" t="s">
        <v>2455</v>
      </c>
    </row>
    <row r="5" spans="1:4">
      <c r="A5" t="s">
        <v>2456</v>
      </c>
    </row>
    <row r="6" spans="1:4">
      <c r="A6" t="s">
        <v>2457</v>
      </c>
    </row>
    <row r="7" spans="1:4">
      <c r="A7" t="s">
        <v>2458</v>
      </c>
      <c r="B7" t="s">
        <v>2453</v>
      </c>
      <c r="C7" s="167">
        <v>45707</v>
      </c>
      <c r="D7" t="s">
        <v>912</v>
      </c>
    </row>
    <row r="8" spans="1:4">
      <c r="A8" t="s">
        <v>2459</v>
      </c>
    </row>
    <row r="9" spans="1:4">
      <c r="A9" t="s">
        <v>2460</v>
      </c>
    </row>
    <row r="10" spans="1:4">
      <c r="A10" t="s">
        <v>2461</v>
      </c>
    </row>
    <row r="11" spans="1:4">
      <c r="A11" t="s">
        <v>2462</v>
      </c>
    </row>
    <row r="12" spans="1:4">
      <c r="A12" t="s">
        <v>2463</v>
      </c>
    </row>
    <row r="13" spans="1:4">
      <c r="A13" t="s">
        <v>2464</v>
      </c>
    </row>
    <row r="14" spans="1:4">
      <c r="A14" t="s">
        <v>2465</v>
      </c>
    </row>
    <row r="15" spans="1:4">
      <c r="A15" t="s">
        <v>2466</v>
      </c>
    </row>
    <row r="16" spans="1:4">
      <c r="A16" t="s">
        <v>2467</v>
      </c>
    </row>
    <row r="17" spans="1:4">
      <c r="A17" t="s">
        <v>40</v>
      </c>
      <c r="C17" s="167"/>
    </row>
    <row r="18" spans="1:4">
      <c r="A18" t="s">
        <v>2468</v>
      </c>
    </row>
    <row r="19" spans="1:4">
      <c r="A19" t="s">
        <v>2469</v>
      </c>
    </row>
    <row r="20" spans="1:4">
      <c r="A20" t="s">
        <v>2470</v>
      </c>
    </row>
    <row r="21" spans="1:4">
      <c r="A21" s="195" t="s">
        <v>2471</v>
      </c>
    </row>
    <row r="22" spans="1:4">
      <c r="A22" s="195" t="s">
        <v>2472</v>
      </c>
    </row>
    <row r="23" spans="1:4">
      <c r="A23" s="195" t="s">
        <v>2473</v>
      </c>
    </row>
    <row r="24" spans="1:4">
      <c r="A24" s="195" t="s">
        <v>2474</v>
      </c>
    </row>
    <row r="25" spans="1:4">
      <c r="A25" s="195" t="s">
        <v>2475</v>
      </c>
    </row>
    <row r="26" spans="1:4">
      <c r="A26" s="195" t="s">
        <v>2476</v>
      </c>
    </row>
    <row r="27" spans="1:4">
      <c r="A27" s="195" t="s">
        <v>2477</v>
      </c>
      <c r="B27" t="s">
        <v>2453</v>
      </c>
      <c r="C27" s="167">
        <v>45741</v>
      </c>
      <c r="D27" t="s">
        <v>366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AE802-367C-4D41-8864-79245B20CC75}">
  <dimension ref="A1:F51"/>
  <sheetViews>
    <sheetView topLeftCell="A35" workbookViewId="0">
      <selection activeCell="D49" sqref="D49"/>
    </sheetView>
  </sheetViews>
  <sheetFormatPr defaultColWidth="8.7109375" defaultRowHeight="14.45"/>
  <cols>
    <col min="1" max="1" width="38" customWidth="1"/>
    <col min="3" max="3" width="15.7109375" customWidth="1"/>
    <col min="4" max="4" width="14.42578125" customWidth="1"/>
  </cols>
  <sheetData>
    <row r="1" spans="1:4">
      <c r="A1" s="14" t="s">
        <v>2478</v>
      </c>
    </row>
    <row r="2" spans="1:4">
      <c r="A2" t="s">
        <v>2479</v>
      </c>
      <c r="B2" t="s">
        <v>2480</v>
      </c>
      <c r="C2" t="str">
        <f t="shared" ref="C2:C49" si="0">CONCATENATE(A2,B2)</f>
        <v>81535-1FZ,</v>
      </c>
      <c r="D2" t="s">
        <v>2481</v>
      </c>
    </row>
    <row r="3" spans="1:4">
      <c r="A3" t="s">
        <v>2482</v>
      </c>
      <c r="B3" t="s">
        <v>2480</v>
      </c>
      <c r="C3" t="str">
        <f t="shared" si="0"/>
        <v>81535-1RR,</v>
      </c>
      <c r="D3" t="s">
        <v>2483</v>
      </c>
    </row>
    <row r="4" spans="1:4">
      <c r="A4" t="s">
        <v>2484</v>
      </c>
      <c r="B4" t="s">
        <v>2480</v>
      </c>
      <c r="C4" t="str">
        <f t="shared" si="0"/>
        <v>81535-461,</v>
      </c>
      <c r="D4" t="s">
        <v>2485</v>
      </c>
    </row>
    <row r="5" spans="1:4">
      <c r="A5" t="s">
        <v>2486</v>
      </c>
      <c r="B5" t="s">
        <v>2480</v>
      </c>
      <c r="C5" t="str">
        <f t="shared" si="0"/>
        <v>81535-76X,</v>
      </c>
      <c r="D5" t="s">
        <v>2487</v>
      </c>
    </row>
    <row r="6" spans="1:4">
      <c r="A6" t="s">
        <v>2488</v>
      </c>
      <c r="B6" t="s">
        <v>2480</v>
      </c>
      <c r="C6" t="str">
        <f t="shared" si="0"/>
        <v>81535-EF5,</v>
      </c>
      <c r="D6" t="s">
        <v>2489</v>
      </c>
    </row>
    <row r="7" spans="1:4">
      <c r="A7" t="s">
        <v>2490</v>
      </c>
      <c r="B7" t="s">
        <v>2480</v>
      </c>
      <c r="C7" t="str">
        <f t="shared" si="0"/>
        <v>81535-VZ2,</v>
      </c>
      <c r="D7" t="s">
        <v>2491</v>
      </c>
    </row>
    <row r="8" spans="1:4">
      <c r="A8" t="s">
        <v>2492</v>
      </c>
      <c r="B8" t="s">
        <v>2480</v>
      </c>
      <c r="C8" t="str">
        <f t="shared" si="0"/>
        <v>81538-461,</v>
      </c>
      <c r="D8" t="s">
        <v>2493</v>
      </c>
    </row>
    <row r="9" spans="1:4">
      <c r="A9" t="s">
        <v>2494</v>
      </c>
      <c r="B9" t="s">
        <v>2480</v>
      </c>
      <c r="C9" t="str">
        <f t="shared" si="0"/>
        <v>81538-76X,</v>
      </c>
      <c r="D9" t="s">
        <v>2495</v>
      </c>
    </row>
    <row r="10" spans="1:4">
      <c r="A10" t="s">
        <v>2496</v>
      </c>
      <c r="B10" t="s">
        <v>2480</v>
      </c>
      <c r="C10" t="str">
        <f t="shared" si="0"/>
        <v>81538-EF5,</v>
      </c>
      <c r="D10" t="s">
        <v>2497</v>
      </c>
    </row>
    <row r="11" spans="1:4">
      <c r="A11" t="s">
        <v>2498</v>
      </c>
      <c r="B11" t="s">
        <v>2480</v>
      </c>
      <c r="C11" t="str">
        <f t="shared" si="0"/>
        <v>81553-1FZ,</v>
      </c>
      <c r="D11" t="s">
        <v>2499</v>
      </c>
    </row>
    <row r="12" spans="1:4">
      <c r="A12" t="s">
        <v>2500</v>
      </c>
      <c r="B12" t="s">
        <v>2480</v>
      </c>
      <c r="C12" t="str">
        <f t="shared" si="0"/>
        <v>81553-1RR,</v>
      </c>
      <c r="D12" t="s">
        <v>2501</v>
      </c>
    </row>
    <row r="13" spans="1:4">
      <c r="A13" t="s">
        <v>2502</v>
      </c>
      <c r="B13" t="s">
        <v>2480</v>
      </c>
      <c r="C13" t="str">
        <f t="shared" si="0"/>
        <v>81553-461,</v>
      </c>
      <c r="D13" t="s">
        <v>2503</v>
      </c>
    </row>
    <row r="14" spans="1:4">
      <c r="A14" t="s">
        <v>2504</v>
      </c>
      <c r="B14" t="s">
        <v>2480</v>
      </c>
      <c r="C14" t="str">
        <f t="shared" si="0"/>
        <v>81553-76X,</v>
      </c>
      <c r="D14" t="s">
        <v>2505</v>
      </c>
    </row>
    <row r="15" spans="1:4">
      <c r="A15" t="s">
        <v>2506</v>
      </c>
      <c r="B15" t="s">
        <v>2480</v>
      </c>
      <c r="C15" t="str">
        <f t="shared" si="0"/>
        <v>81553-EF5,</v>
      </c>
      <c r="D15" t="s">
        <v>2507</v>
      </c>
    </row>
    <row r="16" spans="1:4">
      <c r="A16" t="s">
        <v>2508</v>
      </c>
      <c r="B16" t="s">
        <v>2480</v>
      </c>
      <c r="C16" t="str">
        <f t="shared" si="0"/>
        <v>81553-VZ2,</v>
      </c>
      <c r="D16" t="s">
        <v>2509</v>
      </c>
    </row>
    <row r="17" spans="1:4">
      <c r="A17" t="s">
        <v>2510</v>
      </c>
      <c r="B17" t="s">
        <v>2480</v>
      </c>
      <c r="C17" t="str">
        <f t="shared" si="0"/>
        <v>81762-76X,</v>
      </c>
      <c r="D17" t="s">
        <v>2511</v>
      </c>
    </row>
    <row r="18" spans="1:4">
      <c r="A18" t="s">
        <v>2512</v>
      </c>
      <c r="B18" t="s">
        <v>2480</v>
      </c>
      <c r="C18" t="str">
        <f t="shared" si="0"/>
        <v>82026-1VP,</v>
      </c>
      <c r="D18" t="s">
        <v>2513</v>
      </c>
    </row>
    <row r="19" spans="1:4">
      <c r="A19" t="s">
        <v>2514</v>
      </c>
      <c r="B19" t="s">
        <v>2480</v>
      </c>
      <c r="C19" t="str">
        <f t="shared" si="0"/>
        <v>82035-1UN,</v>
      </c>
      <c r="D19" t="s">
        <v>2515</v>
      </c>
    </row>
    <row r="20" spans="1:4">
      <c r="A20" t="s">
        <v>2516</v>
      </c>
      <c r="B20" t="s">
        <v>2480</v>
      </c>
      <c r="C20" t="str">
        <f t="shared" si="0"/>
        <v>82035-1VG,</v>
      </c>
      <c r="D20" t="s">
        <v>2517</v>
      </c>
    </row>
    <row r="21" spans="1:4">
      <c r="A21" t="s">
        <v>2518</v>
      </c>
      <c r="B21" t="s">
        <v>2480</v>
      </c>
      <c r="C21" t="str">
        <f t="shared" si="0"/>
        <v>82035-1VH,</v>
      </c>
      <c r="D21" t="s">
        <v>2519</v>
      </c>
    </row>
    <row r="22" spans="1:4">
      <c r="A22" t="s">
        <v>2520</v>
      </c>
      <c r="B22" t="s">
        <v>2480</v>
      </c>
      <c r="C22" t="str">
        <f t="shared" si="0"/>
        <v>82035-22L,</v>
      </c>
      <c r="D22" t="s">
        <v>2521</v>
      </c>
    </row>
    <row r="23" spans="1:4">
      <c r="A23" t="s">
        <v>2522</v>
      </c>
      <c r="B23" t="s">
        <v>2480</v>
      </c>
      <c r="C23" t="str">
        <f t="shared" si="0"/>
        <v>82035-25S,</v>
      </c>
      <c r="D23" t="s">
        <v>2523</v>
      </c>
    </row>
    <row r="24" spans="1:4">
      <c r="A24" t="s">
        <v>2524</v>
      </c>
      <c r="B24" t="s">
        <v>2480</v>
      </c>
      <c r="C24" t="str">
        <f t="shared" si="0"/>
        <v>82035-IVJ,</v>
      </c>
      <c r="D24" t="s">
        <v>2525</v>
      </c>
    </row>
    <row r="25" spans="1:4">
      <c r="A25" t="s">
        <v>2526</v>
      </c>
      <c r="B25" t="s">
        <v>2480</v>
      </c>
      <c r="C25" t="str">
        <f t="shared" si="0"/>
        <v>82036-1UN,</v>
      </c>
      <c r="D25" t="s">
        <v>2527</v>
      </c>
    </row>
    <row r="26" spans="1:4">
      <c r="A26" t="s">
        <v>2528</v>
      </c>
      <c r="B26" t="s">
        <v>2480</v>
      </c>
      <c r="C26" t="str">
        <f t="shared" si="0"/>
        <v>82036-1VG,</v>
      </c>
      <c r="D26" t="s">
        <v>2529</v>
      </c>
    </row>
    <row r="27" spans="1:4">
      <c r="A27" t="s">
        <v>2530</v>
      </c>
      <c r="B27" t="s">
        <v>2480</v>
      </c>
      <c r="C27" t="str">
        <f t="shared" si="0"/>
        <v>82036-1VH,</v>
      </c>
      <c r="D27" t="s">
        <v>2531</v>
      </c>
    </row>
    <row r="28" spans="1:4">
      <c r="A28" t="s">
        <v>2532</v>
      </c>
      <c r="B28" t="s">
        <v>2480</v>
      </c>
      <c r="C28" t="str">
        <f t="shared" si="0"/>
        <v>82036-22L,</v>
      </c>
      <c r="D28" t="s">
        <v>2533</v>
      </c>
    </row>
    <row r="29" spans="1:4">
      <c r="A29" t="s">
        <v>2534</v>
      </c>
      <c r="B29" t="s">
        <v>2480</v>
      </c>
      <c r="C29" t="str">
        <f t="shared" si="0"/>
        <v>82036-25S,</v>
      </c>
      <c r="D29" t="s">
        <v>2535</v>
      </c>
    </row>
    <row r="30" spans="1:4">
      <c r="A30" t="s">
        <v>2536</v>
      </c>
      <c r="B30" t="s">
        <v>2480</v>
      </c>
      <c r="C30" t="str">
        <f t="shared" si="0"/>
        <v>82036-IVJ,</v>
      </c>
      <c r="D30" t="s">
        <v>2537</v>
      </c>
    </row>
    <row r="31" spans="1:4">
      <c r="A31" t="s">
        <v>2538</v>
      </c>
      <c r="B31" t="s">
        <v>2480</v>
      </c>
      <c r="C31" t="str">
        <f t="shared" si="0"/>
        <v>82710-1GS,</v>
      </c>
      <c r="D31" t="s">
        <v>2539</v>
      </c>
    </row>
    <row r="32" spans="1:4">
      <c r="A32" t="s">
        <v>2540</v>
      </c>
      <c r="B32" t="s">
        <v>2480</v>
      </c>
      <c r="C32" t="str">
        <f t="shared" si="0"/>
        <v>82710-1CH,</v>
      </c>
      <c r="D32" t="s">
        <v>2541</v>
      </c>
    </row>
    <row r="33" spans="1:4">
      <c r="A33" t="s">
        <v>2542</v>
      </c>
      <c r="B33" t="s">
        <v>2480</v>
      </c>
      <c r="C33" t="str">
        <f t="shared" si="0"/>
        <v>82710-1CB,</v>
      </c>
      <c r="D33" t="s">
        <v>2543</v>
      </c>
    </row>
    <row r="34" spans="1:4">
      <c r="A34" t="s">
        <v>2544</v>
      </c>
      <c r="B34" t="s">
        <v>2480</v>
      </c>
      <c r="C34" t="str">
        <f t="shared" si="0"/>
        <v>82710-1CO,</v>
      </c>
      <c r="D34" t="s">
        <v>2545</v>
      </c>
    </row>
    <row r="35" spans="1:4">
      <c r="A35" t="s">
        <v>2546</v>
      </c>
      <c r="B35" t="s">
        <v>2480</v>
      </c>
      <c r="C35" t="str">
        <f t="shared" si="0"/>
        <v>82710-1CP,</v>
      </c>
      <c r="D35" t="s">
        <v>2547</v>
      </c>
    </row>
    <row r="36" spans="1:4">
      <c r="A36" t="s">
        <v>2548</v>
      </c>
      <c r="B36" t="s">
        <v>2480</v>
      </c>
      <c r="C36" t="str">
        <f t="shared" si="0"/>
        <v>82713-1VG,</v>
      </c>
      <c r="D36" t="s">
        <v>2549</v>
      </c>
    </row>
    <row r="37" spans="1:4">
      <c r="A37" t="s">
        <v>2550</v>
      </c>
      <c r="B37" t="s">
        <v>2480</v>
      </c>
      <c r="C37" t="str">
        <f t="shared" si="0"/>
        <v>82713-1UN,</v>
      </c>
      <c r="D37" t="s">
        <v>2551</v>
      </c>
    </row>
    <row r="38" spans="1:4">
      <c r="A38" t="s">
        <v>2552</v>
      </c>
      <c r="B38" t="s">
        <v>2480</v>
      </c>
      <c r="C38" t="str">
        <f t="shared" si="0"/>
        <v>82713-IVJ,</v>
      </c>
      <c r="D38" t="s">
        <v>2553</v>
      </c>
    </row>
    <row r="39" spans="1:4">
      <c r="A39" t="s">
        <v>2554</v>
      </c>
      <c r="B39" t="s">
        <v>2480</v>
      </c>
      <c r="C39" t="str">
        <f t="shared" si="0"/>
        <v>82726-36I,</v>
      </c>
      <c r="D39" t="s">
        <v>2555</v>
      </c>
    </row>
    <row r="40" spans="1:4">
      <c r="A40" t="s">
        <v>2556</v>
      </c>
      <c r="B40" t="s">
        <v>2480</v>
      </c>
      <c r="C40" t="str">
        <f t="shared" si="0"/>
        <v>82726-36J,</v>
      </c>
      <c r="D40" t="s">
        <v>2557</v>
      </c>
    </row>
    <row r="41" spans="1:4">
      <c r="A41" t="s">
        <v>2558</v>
      </c>
      <c r="B41" t="s">
        <v>2480</v>
      </c>
      <c r="C41" t="str">
        <f t="shared" si="0"/>
        <v>82714-36C,</v>
      </c>
      <c r="D41" t="s">
        <v>2559</v>
      </c>
    </row>
    <row r="42" spans="1:4">
      <c r="A42" t="s">
        <v>2560</v>
      </c>
      <c r="B42" t="s">
        <v>2480</v>
      </c>
      <c r="C42" t="str">
        <f t="shared" si="0"/>
        <v>82714-36G,</v>
      </c>
      <c r="D42" t="s">
        <v>2561</v>
      </c>
    </row>
    <row r="43" spans="1:4">
      <c r="A43" t="s">
        <v>2562</v>
      </c>
      <c r="B43" t="s">
        <v>2480</v>
      </c>
      <c r="C43" t="str">
        <f t="shared" si="0"/>
        <v>82307-1WO,</v>
      </c>
      <c r="D43" t="s">
        <v>2563</v>
      </c>
    </row>
    <row r="44" spans="1:4">
      <c r="A44" t="s">
        <v>2564</v>
      </c>
      <c r="B44" t="s">
        <v>2480</v>
      </c>
      <c r="C44" t="str">
        <f t="shared" si="0"/>
        <v>82307-2ES,</v>
      </c>
      <c r="D44" t="s">
        <v>2565</v>
      </c>
    </row>
    <row r="45" spans="1:4">
      <c r="A45" t="s">
        <v>2566</v>
      </c>
      <c r="B45" t="s">
        <v>2480</v>
      </c>
      <c r="C45" t="str">
        <f t="shared" si="0"/>
        <v>82307-2ET,</v>
      </c>
      <c r="D45" t="s">
        <v>2567</v>
      </c>
    </row>
    <row r="46" spans="1:4">
      <c r="A46" t="s">
        <v>2568</v>
      </c>
      <c r="B46" t="s">
        <v>2480</v>
      </c>
      <c r="C46" t="str">
        <f t="shared" si="0"/>
        <v>82307-2EU,</v>
      </c>
      <c r="D46" t="s">
        <v>2569</v>
      </c>
    </row>
    <row r="47" spans="1:4">
      <c r="A47" t="s">
        <v>2570</v>
      </c>
      <c r="B47" t="s">
        <v>2480</v>
      </c>
      <c r="C47" t="str">
        <f t="shared" si="0"/>
        <v>82019-1VP,</v>
      </c>
      <c r="D47" t="s">
        <v>2571</v>
      </c>
    </row>
    <row r="48" spans="1:4">
      <c r="A48" t="s">
        <v>2572</v>
      </c>
      <c r="B48" t="s">
        <v>2480</v>
      </c>
      <c r="C48" t="str">
        <f t="shared" si="0"/>
        <v>82227-RS8,</v>
      </c>
      <c r="D48" t="s">
        <v>2573</v>
      </c>
    </row>
    <row r="49" spans="1:6">
      <c r="A49" t="s">
        <v>2574</v>
      </c>
      <c r="B49" t="s">
        <v>2480</v>
      </c>
      <c r="C49" t="str">
        <f t="shared" si="0"/>
        <v>82228-RS8,</v>
      </c>
      <c r="D49" t="s">
        <v>2574</v>
      </c>
    </row>
    <row r="51" spans="1:6" ht="15.6">
      <c r="F51" s="15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E68AA-520E-4F30-86C6-C465DB73A09E}">
  <sheetPr codeName="Sheet6"/>
  <dimension ref="A1:A44"/>
  <sheetViews>
    <sheetView topLeftCell="A34" workbookViewId="0">
      <selection activeCell="C45" sqref="C45"/>
    </sheetView>
  </sheetViews>
  <sheetFormatPr defaultColWidth="8.7109375" defaultRowHeight="14.45"/>
  <cols>
    <col min="1" max="1" width="17.7109375" customWidth="1"/>
  </cols>
  <sheetData>
    <row r="1" spans="1:1">
      <c r="A1" t="s">
        <v>2575</v>
      </c>
    </row>
    <row r="2" spans="1:1">
      <c r="A2" t="s">
        <v>2576</v>
      </c>
    </row>
    <row r="4" spans="1:1">
      <c r="A4" t="s">
        <v>37</v>
      </c>
    </row>
    <row r="5" spans="1:1">
      <c r="A5" t="s">
        <v>76</v>
      </c>
    </row>
    <row r="7" spans="1:1">
      <c r="A7" t="s">
        <v>88</v>
      </c>
    </row>
    <row r="8" spans="1:1">
      <c r="A8" t="s">
        <v>38</v>
      </c>
    </row>
    <row r="10" spans="1:1">
      <c r="A10" t="s">
        <v>41</v>
      </c>
    </row>
    <row r="11" spans="1:1">
      <c r="A11" t="s">
        <v>53</v>
      </c>
    </row>
    <row r="13" spans="1:1">
      <c r="A13" t="s">
        <v>47</v>
      </c>
    </row>
    <row r="14" spans="1:1">
      <c r="A14" t="s">
        <v>44</v>
      </c>
    </row>
    <row r="16" spans="1:1">
      <c r="A16" t="s">
        <v>39</v>
      </c>
    </row>
    <row r="17" spans="1:1">
      <c r="A17" t="s">
        <v>2577</v>
      </c>
    </row>
    <row r="19" spans="1:1">
      <c r="A19" t="s">
        <v>2578</v>
      </c>
    </row>
    <row r="20" spans="1:1">
      <c r="A20" t="s">
        <v>2577</v>
      </c>
    </row>
    <row r="23" spans="1:1">
      <c r="A23" t="s">
        <v>43</v>
      </c>
    </row>
    <row r="24" spans="1:1">
      <c r="A24" t="s">
        <v>2579</v>
      </c>
    </row>
    <row r="26" spans="1:1">
      <c r="A26" t="s">
        <v>33</v>
      </c>
    </row>
    <row r="27" spans="1:1">
      <c r="A27" t="s">
        <v>72</v>
      </c>
    </row>
    <row r="29" spans="1:1">
      <c r="A29" t="s">
        <v>35</v>
      </c>
    </row>
    <row r="30" spans="1:1">
      <c r="A30" t="s">
        <v>882</v>
      </c>
    </row>
    <row r="31" spans="1:1">
      <c r="A31" t="s">
        <v>898</v>
      </c>
    </row>
    <row r="32" spans="1:1">
      <c r="A32" t="s">
        <v>74</v>
      </c>
    </row>
    <row r="33" spans="1:1">
      <c r="A33" t="s">
        <v>749</v>
      </c>
    </row>
    <row r="34" spans="1:1">
      <c r="A34" t="s">
        <v>496</v>
      </c>
    </row>
    <row r="35" spans="1:1">
      <c r="A35" t="s">
        <v>262</v>
      </c>
    </row>
    <row r="36" spans="1:1">
      <c r="A36" t="s">
        <v>86</v>
      </c>
    </row>
    <row r="37" spans="1:1">
      <c r="A37" t="s">
        <v>2580</v>
      </c>
    </row>
    <row r="38" spans="1:1">
      <c r="A38" t="s">
        <v>821</v>
      </c>
    </row>
    <row r="39" spans="1:1">
      <c r="A39" t="s">
        <v>830</v>
      </c>
    </row>
    <row r="40" spans="1:1">
      <c r="A40" t="s">
        <v>94</v>
      </c>
    </row>
    <row r="41" spans="1:1">
      <c r="A41" t="s">
        <v>2581</v>
      </c>
    </row>
    <row r="42" spans="1:1">
      <c r="A42" t="s">
        <v>564</v>
      </c>
    </row>
    <row r="43" spans="1:1">
      <c r="A43" t="s">
        <v>708</v>
      </c>
    </row>
    <row r="44" spans="1:1">
      <c r="A44" t="s">
        <v>670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14AC5-F013-43CE-BB3D-DA64C3DE3C43}">
  <sheetPr codeName="Sheet7"/>
  <dimension ref="A1:N7"/>
  <sheetViews>
    <sheetView workbookViewId="0">
      <selection activeCell="H4" sqref="H4"/>
    </sheetView>
  </sheetViews>
  <sheetFormatPr defaultColWidth="8.7109375" defaultRowHeight="14.45"/>
  <cols>
    <col min="1" max="1" width="21.42578125" bestFit="1" customWidth="1"/>
    <col min="2" max="2" width="86.42578125" customWidth="1"/>
  </cols>
  <sheetData>
    <row r="1" spans="1:14" ht="72.599999999999994">
      <c r="A1" s="20" t="s">
        <v>1328</v>
      </c>
      <c r="B1" s="21" t="s">
        <v>1329</v>
      </c>
    </row>
    <row r="2" spans="1:14" ht="72.599999999999994">
      <c r="A2" s="24" t="s">
        <v>2582</v>
      </c>
      <c r="B2" s="23" t="s">
        <v>2583</v>
      </c>
    </row>
    <row r="3" spans="1:14" ht="72.599999999999994">
      <c r="A3" s="20" t="s">
        <v>1343</v>
      </c>
      <c r="B3" s="23" t="s">
        <v>2584</v>
      </c>
    </row>
    <row r="4" spans="1:14" ht="87">
      <c r="A4" s="25" t="s">
        <v>1369</v>
      </c>
      <c r="B4" s="26" t="s">
        <v>1370</v>
      </c>
    </row>
    <row r="5" spans="1:14" ht="15" customHeight="1">
      <c r="A5" s="49" t="s">
        <v>2585</v>
      </c>
      <c r="B5" s="50" t="s">
        <v>2586</v>
      </c>
      <c r="C5" s="51">
        <v>44974</v>
      </c>
      <c r="D5" s="52">
        <v>44977</v>
      </c>
      <c r="E5" s="53" t="s">
        <v>2587</v>
      </c>
      <c r="F5" s="53" t="s">
        <v>142</v>
      </c>
      <c r="G5" s="53" t="s">
        <v>2586</v>
      </c>
      <c r="H5" s="53" t="s">
        <v>2588</v>
      </c>
      <c r="I5" s="54" t="s">
        <v>2589</v>
      </c>
      <c r="J5" s="55"/>
      <c r="K5" s="56"/>
      <c r="L5" s="56"/>
      <c r="M5" s="57"/>
      <c r="N5" s="53" t="s">
        <v>42</v>
      </c>
    </row>
    <row r="6" spans="1:14">
      <c r="A6" t="s">
        <v>2590</v>
      </c>
      <c r="B6" t="s">
        <v>2591</v>
      </c>
    </row>
    <row r="7" spans="1:14">
      <c r="A7" t="s">
        <v>2592</v>
      </c>
      <c r="B7" t="s">
        <v>2593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CB451-945F-45F1-B71E-1BCD9799150F}">
  <sheetPr codeName="Sheet8"/>
  <dimension ref="A1:F28"/>
  <sheetViews>
    <sheetView topLeftCell="A13" workbookViewId="0">
      <selection activeCell="B13" sqref="B13"/>
    </sheetView>
  </sheetViews>
  <sheetFormatPr defaultColWidth="8.7109375" defaultRowHeight="14.45"/>
  <cols>
    <col min="1" max="1" width="13" style="28" customWidth="1"/>
    <col min="2" max="2" width="43.28515625" style="28" customWidth="1"/>
    <col min="3" max="3" width="22.42578125" style="28" customWidth="1"/>
    <col min="4" max="4" width="36.42578125" style="7" customWidth="1"/>
    <col min="6" max="6" width="16.42578125" customWidth="1"/>
  </cols>
  <sheetData>
    <row r="1" spans="1:6">
      <c r="A1" s="78">
        <v>2023</v>
      </c>
      <c r="B1" s="77"/>
      <c r="C1" s="77"/>
    </row>
    <row r="2" spans="1:6">
      <c r="A2" s="39" t="s">
        <v>2594</v>
      </c>
      <c r="B2" s="39" t="s">
        <v>2595</v>
      </c>
      <c r="C2" s="39" t="s">
        <v>2596</v>
      </c>
      <c r="D2" s="8" t="s">
        <v>2597</v>
      </c>
      <c r="F2" s="15" t="s">
        <v>2598</v>
      </c>
    </row>
    <row r="3" spans="1:6" s="83" customFormat="1">
      <c r="A3" s="80" t="s">
        <v>2599</v>
      </c>
      <c r="B3" s="81"/>
      <c r="C3" s="81"/>
      <c r="D3" s="82"/>
    </row>
    <row r="4" spans="1:6" ht="29.1">
      <c r="A4" s="79"/>
      <c r="B4" s="28" t="s">
        <v>2600</v>
      </c>
      <c r="C4" s="28" t="s">
        <v>2601</v>
      </c>
      <c r="D4" s="7" t="s">
        <v>2602</v>
      </c>
    </row>
    <row r="5" spans="1:6" ht="29.1">
      <c r="B5" s="28" t="s">
        <v>2603</v>
      </c>
      <c r="C5" s="28" t="s">
        <v>2601</v>
      </c>
      <c r="D5" s="7" t="s">
        <v>2602</v>
      </c>
    </row>
    <row r="6" spans="1:6">
      <c r="B6" s="28" t="s">
        <v>2604</v>
      </c>
      <c r="C6" s="28" t="s">
        <v>2601</v>
      </c>
      <c r="D6" s="7" t="s">
        <v>2605</v>
      </c>
    </row>
    <row r="7" spans="1:6">
      <c r="B7" s="28" t="s">
        <v>2606</v>
      </c>
      <c r="C7" s="28" t="s">
        <v>2601</v>
      </c>
      <c r="D7" s="7" t="s">
        <v>2605</v>
      </c>
    </row>
    <row r="8" spans="1:6" s="83" customFormat="1">
      <c r="A8" s="80" t="s">
        <v>2607</v>
      </c>
      <c r="B8" s="81"/>
      <c r="C8" s="81"/>
      <c r="D8" s="82"/>
    </row>
    <row r="9" spans="1:6" ht="29.1">
      <c r="A9" s="79"/>
      <c r="B9" s="28" t="s">
        <v>2608</v>
      </c>
      <c r="C9" s="28" t="s">
        <v>2609</v>
      </c>
      <c r="D9" s="7" t="s">
        <v>2602</v>
      </c>
    </row>
    <row r="10" spans="1:6" s="83" customFormat="1">
      <c r="A10" s="80" t="s">
        <v>2610</v>
      </c>
      <c r="B10" s="81"/>
      <c r="C10" s="81"/>
      <c r="D10" s="82"/>
    </row>
    <row r="11" spans="1:6">
      <c r="B11" s="28" t="s">
        <v>2611</v>
      </c>
      <c r="C11" s="28" t="s">
        <v>2601</v>
      </c>
      <c r="D11" s="7" t="s">
        <v>2605</v>
      </c>
    </row>
    <row r="12" spans="1:6" ht="29.1">
      <c r="B12" s="28" t="s">
        <v>2612</v>
      </c>
      <c r="C12" s="28" t="s">
        <v>2601</v>
      </c>
      <c r="D12" s="7" t="s">
        <v>2613</v>
      </c>
    </row>
    <row r="13" spans="1:6" ht="29.1">
      <c r="B13" s="28" t="s">
        <v>2614</v>
      </c>
      <c r="C13" s="28" t="s">
        <v>2601</v>
      </c>
      <c r="D13" s="7" t="s">
        <v>2613</v>
      </c>
    </row>
    <row r="14" spans="1:6" s="83" customFormat="1">
      <c r="A14" s="80" t="s">
        <v>2615</v>
      </c>
      <c r="B14" s="81"/>
      <c r="C14" s="81"/>
      <c r="D14" s="82"/>
    </row>
    <row r="15" spans="1:6" ht="29.1">
      <c r="B15" s="28" t="s">
        <v>2616</v>
      </c>
      <c r="C15" s="28" t="s">
        <v>2601</v>
      </c>
      <c r="D15" s="7" t="s">
        <v>2613</v>
      </c>
    </row>
    <row r="16" spans="1:6">
      <c r="B16" s="28" t="s">
        <v>2617</v>
      </c>
      <c r="C16" s="28" t="s">
        <v>2601</v>
      </c>
      <c r="D16" s="7" t="s">
        <v>2605</v>
      </c>
    </row>
    <row r="17" spans="1:4" ht="29.1">
      <c r="B17" s="28" t="s">
        <v>2618</v>
      </c>
      <c r="C17" s="28" t="s">
        <v>2601</v>
      </c>
      <c r="D17" s="7" t="s">
        <v>2613</v>
      </c>
    </row>
    <row r="18" spans="1:4" ht="29.1">
      <c r="B18" s="7" t="s">
        <v>2619</v>
      </c>
      <c r="C18" s="28" t="s">
        <v>2601</v>
      </c>
      <c r="D18" s="7" t="s">
        <v>2602</v>
      </c>
    </row>
    <row r="19" spans="1:4" s="83" customFormat="1">
      <c r="A19" s="80" t="s">
        <v>2620</v>
      </c>
      <c r="B19" s="81"/>
      <c r="C19" s="81"/>
      <c r="D19" s="82"/>
    </row>
    <row r="20" spans="1:4" ht="29.1">
      <c r="B20" s="28" t="s">
        <v>2621</v>
      </c>
      <c r="C20" s="28" t="s">
        <v>2601</v>
      </c>
      <c r="D20" s="7" t="s">
        <v>2622</v>
      </c>
    </row>
    <row r="21" spans="1:4">
      <c r="B21" s="28" t="s">
        <v>2623</v>
      </c>
      <c r="C21" s="28" t="s">
        <v>2601</v>
      </c>
      <c r="D21" s="7" t="s">
        <v>2605</v>
      </c>
    </row>
    <row r="22" spans="1:4" ht="29.1">
      <c r="B22" s="28" t="s">
        <v>2624</v>
      </c>
      <c r="C22" s="28" t="s">
        <v>2601</v>
      </c>
      <c r="D22" s="7" t="s">
        <v>2622</v>
      </c>
    </row>
    <row r="23" spans="1:4">
      <c r="B23" s="28" t="s">
        <v>2625</v>
      </c>
      <c r="C23" s="28" t="s">
        <v>2601</v>
      </c>
      <c r="D23" s="7" t="s">
        <v>2605</v>
      </c>
    </row>
    <row r="24" spans="1:4" ht="29.1">
      <c r="B24" s="28" t="s">
        <v>2626</v>
      </c>
      <c r="C24" s="28" t="s">
        <v>2601</v>
      </c>
      <c r="D24" s="7" t="s">
        <v>2622</v>
      </c>
    </row>
    <row r="25" spans="1:4" ht="29.1">
      <c r="B25" s="7" t="s">
        <v>2627</v>
      </c>
      <c r="C25" s="28" t="s">
        <v>2601</v>
      </c>
      <c r="D25" s="7" t="s">
        <v>2605</v>
      </c>
    </row>
    <row r="26" spans="1:4" ht="29.1">
      <c r="B26" s="28" t="s">
        <v>2628</v>
      </c>
      <c r="C26" s="28" t="s">
        <v>2601</v>
      </c>
      <c r="D26" s="7" t="s">
        <v>2622</v>
      </c>
    </row>
    <row r="27" spans="1:4" ht="29.1">
      <c r="B27" s="28" t="s">
        <v>2629</v>
      </c>
      <c r="C27" s="28" t="s">
        <v>2601</v>
      </c>
      <c r="D27" s="7" t="s">
        <v>2630</v>
      </c>
    </row>
    <row r="28" spans="1:4" ht="29.1">
      <c r="B28" s="7" t="s">
        <v>2631</v>
      </c>
      <c r="C28" s="28" t="s">
        <v>2601</v>
      </c>
      <c r="D28" s="7" t="s">
        <v>2630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A9901-4343-402A-9BB2-890A8AF2D89A}">
  <dimension ref="A1:F16"/>
  <sheetViews>
    <sheetView workbookViewId="0">
      <selection activeCell="Q12" sqref="Q12"/>
    </sheetView>
  </sheetViews>
  <sheetFormatPr defaultColWidth="8.85546875" defaultRowHeight="14.45"/>
  <sheetData>
    <row r="1" spans="1:6">
      <c r="A1" t="s">
        <v>2632</v>
      </c>
      <c r="C1" t="s">
        <v>2633</v>
      </c>
      <c r="D1" t="s">
        <v>1769</v>
      </c>
      <c r="E1" t="s">
        <v>2634</v>
      </c>
      <c r="F1" t="s">
        <v>2448</v>
      </c>
    </row>
    <row r="2" spans="1:6">
      <c r="A2" s="129">
        <v>45702</v>
      </c>
      <c r="B2" s="129">
        <v>45706</v>
      </c>
      <c r="C2" t="s">
        <v>2236</v>
      </c>
      <c r="D2" t="s">
        <v>2587</v>
      </c>
      <c r="E2" t="s">
        <v>2587</v>
      </c>
      <c r="F2" t="s">
        <v>142</v>
      </c>
    </row>
    <row r="3" spans="1:6">
      <c r="A3" s="129">
        <v>45710</v>
      </c>
      <c r="B3" s="129">
        <v>45711</v>
      </c>
      <c r="C3" t="s">
        <v>2268</v>
      </c>
      <c r="D3" t="s">
        <v>2635</v>
      </c>
      <c r="E3" t="s">
        <v>2635</v>
      </c>
      <c r="F3" t="s">
        <v>2269</v>
      </c>
    </row>
    <row r="4" spans="1:6">
      <c r="A4" s="129">
        <v>45717</v>
      </c>
      <c r="B4" s="129">
        <v>45718</v>
      </c>
      <c r="C4" t="s">
        <v>2636</v>
      </c>
      <c r="D4" t="s">
        <v>2587</v>
      </c>
      <c r="E4" t="s">
        <v>2587</v>
      </c>
      <c r="F4" t="s">
        <v>912</v>
      </c>
    </row>
    <row r="5" spans="1:6">
      <c r="A5" s="129">
        <v>45729</v>
      </c>
      <c r="B5" s="129">
        <v>45732</v>
      </c>
      <c r="C5" t="s">
        <v>2233</v>
      </c>
      <c r="D5" t="s">
        <v>2635</v>
      </c>
      <c r="E5" t="s">
        <v>2635</v>
      </c>
      <c r="F5" t="s">
        <v>2257</v>
      </c>
    </row>
    <row r="6" spans="1:6">
      <c r="A6" s="129">
        <v>45751</v>
      </c>
      <c r="B6" s="129">
        <v>45753</v>
      </c>
      <c r="C6" t="s">
        <v>2268</v>
      </c>
      <c r="D6" t="s">
        <v>2587</v>
      </c>
      <c r="E6" t="s">
        <v>2587</v>
      </c>
      <c r="F6" t="s">
        <v>931</v>
      </c>
    </row>
    <row r="7" spans="1:6">
      <c r="A7" s="129">
        <v>45758</v>
      </c>
      <c r="B7" s="129">
        <v>45760</v>
      </c>
      <c r="C7" t="s">
        <v>2637</v>
      </c>
      <c r="D7" t="s">
        <v>2587</v>
      </c>
      <c r="E7" t="s">
        <v>2587</v>
      </c>
      <c r="F7" t="s">
        <v>366</v>
      </c>
    </row>
    <row r="8" spans="1:6">
      <c r="A8" s="129">
        <v>45777</v>
      </c>
      <c r="B8" s="129">
        <v>45807</v>
      </c>
      <c r="C8" t="s">
        <v>2233</v>
      </c>
      <c r="D8" t="s">
        <v>2635</v>
      </c>
      <c r="E8" t="s">
        <v>2635</v>
      </c>
      <c r="F8" t="s">
        <v>2257</v>
      </c>
    </row>
    <row r="9" spans="1:6">
      <c r="A9" s="129">
        <v>45786</v>
      </c>
      <c r="B9" s="129">
        <v>45788</v>
      </c>
      <c r="C9" t="s">
        <v>2268</v>
      </c>
      <c r="D9" t="s">
        <v>2635</v>
      </c>
      <c r="E9" t="s">
        <v>2635</v>
      </c>
      <c r="F9" t="s">
        <v>2269</v>
      </c>
    </row>
    <row r="10" spans="1:6">
      <c r="A10" s="129">
        <v>45797</v>
      </c>
      <c r="B10" s="129">
        <v>45798</v>
      </c>
      <c r="C10" t="s">
        <v>2263</v>
      </c>
      <c r="D10" t="s">
        <v>2587</v>
      </c>
      <c r="E10" t="s">
        <v>2587</v>
      </c>
      <c r="F10" t="s">
        <v>973</v>
      </c>
    </row>
    <row r="11" spans="1:6">
      <c r="A11" s="129">
        <v>45800</v>
      </c>
      <c r="B11" s="129">
        <v>45802</v>
      </c>
      <c r="C11" t="s">
        <v>2233</v>
      </c>
      <c r="D11" t="s">
        <v>2587</v>
      </c>
      <c r="E11" t="s">
        <v>2587</v>
      </c>
      <c r="F11" t="s">
        <v>982</v>
      </c>
    </row>
    <row r="12" spans="1:6">
      <c r="A12" s="129">
        <v>45808</v>
      </c>
      <c r="B12" s="173">
        <v>11475</v>
      </c>
      <c r="C12" t="s">
        <v>2638</v>
      </c>
      <c r="D12" t="s">
        <v>2635</v>
      </c>
      <c r="E12" t="s">
        <v>2635</v>
      </c>
      <c r="F12" t="s">
        <v>2278</v>
      </c>
    </row>
    <row r="13" spans="1:6">
      <c r="A13" s="129">
        <v>45822</v>
      </c>
      <c r="B13" s="129">
        <v>45823</v>
      </c>
      <c r="C13" t="s">
        <v>2233</v>
      </c>
      <c r="D13" t="s">
        <v>2635</v>
      </c>
      <c r="E13" t="s">
        <v>2635</v>
      </c>
      <c r="F13" t="s">
        <v>2257</v>
      </c>
    </row>
    <row r="14" spans="1:6">
      <c r="A14" s="129">
        <v>45833</v>
      </c>
      <c r="B14" s="129">
        <v>45834</v>
      </c>
      <c r="C14" t="s">
        <v>2639</v>
      </c>
      <c r="D14" t="s">
        <v>2587</v>
      </c>
      <c r="E14" t="s">
        <v>2587</v>
      </c>
      <c r="F14" t="s">
        <v>987</v>
      </c>
    </row>
    <row r="15" spans="1:6">
      <c r="A15" s="129">
        <v>45835</v>
      </c>
      <c r="B15" s="129">
        <v>45838</v>
      </c>
      <c r="C15" t="s">
        <v>2268</v>
      </c>
      <c r="D15" t="s">
        <v>2635</v>
      </c>
      <c r="E15" t="s">
        <v>2587</v>
      </c>
      <c r="F15" t="s">
        <v>2269</v>
      </c>
    </row>
    <row r="16" spans="1:6">
      <c r="A16" s="129">
        <v>45846</v>
      </c>
      <c r="B16" s="129">
        <v>45846</v>
      </c>
      <c r="C16" t="s">
        <v>2229</v>
      </c>
      <c r="D16" t="s">
        <v>2587</v>
      </c>
      <c r="E16" t="s">
        <v>2587</v>
      </c>
      <c r="F16" t="s">
        <v>987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A1328-6906-439E-80A7-642B090C3D23}">
  <sheetPr codeName="Sheet5"/>
  <dimension ref="A1:G6"/>
  <sheetViews>
    <sheetView topLeftCell="A4" workbookViewId="0">
      <selection activeCell="B17" sqref="B17"/>
    </sheetView>
  </sheetViews>
  <sheetFormatPr defaultColWidth="8.7109375" defaultRowHeight="14.45"/>
  <cols>
    <col min="1" max="1" width="56.42578125" customWidth="1"/>
    <col min="2" max="2" width="47.7109375" customWidth="1"/>
    <col min="7" max="7" width="11.42578125" customWidth="1"/>
  </cols>
  <sheetData>
    <row r="1" spans="1:7">
      <c r="A1" s="39" t="s">
        <v>2640</v>
      </c>
      <c r="B1" s="39" t="s">
        <v>32</v>
      </c>
      <c r="D1" s="314" t="s">
        <v>2641</v>
      </c>
      <c r="E1" s="314"/>
      <c r="F1" s="314"/>
      <c r="G1" s="314"/>
    </row>
    <row r="2" spans="1:7">
      <c r="A2" s="28" t="s">
        <v>2642</v>
      </c>
      <c r="B2" s="28" t="s">
        <v>2643</v>
      </c>
    </row>
    <row r="3" spans="1:7">
      <c r="A3" s="28" t="s">
        <v>2644</v>
      </c>
      <c r="B3" s="28" t="s">
        <v>2645</v>
      </c>
    </row>
    <row r="4" spans="1:7">
      <c r="A4" s="28" t="s">
        <v>2646</v>
      </c>
      <c r="B4" s="28" t="s">
        <v>2647</v>
      </c>
      <c r="D4" t="s">
        <v>2648</v>
      </c>
    </row>
    <row r="5" spans="1:7">
      <c r="A5" s="28" t="s">
        <v>2649</v>
      </c>
      <c r="B5" s="28" t="s">
        <v>2650</v>
      </c>
    </row>
    <row r="6" spans="1:7">
      <c r="A6" s="28" t="s">
        <v>2651</v>
      </c>
      <c r="B6" s="28">
        <v>1201</v>
      </c>
    </row>
  </sheetData>
  <mergeCells count="1">
    <mergeCell ref="D1:G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D49AE-534B-40C5-9238-F193210B46D7}">
  <sheetPr codeName="Sheet9"/>
  <dimension ref="A1:C2"/>
  <sheetViews>
    <sheetView topLeftCell="A3" workbookViewId="0">
      <selection activeCell="E14" sqref="E14"/>
    </sheetView>
  </sheetViews>
  <sheetFormatPr defaultColWidth="8.7109375" defaultRowHeight="14.45"/>
  <cols>
    <col min="1" max="3" width="25.42578125" customWidth="1"/>
  </cols>
  <sheetData>
    <row r="1" spans="1:3">
      <c r="A1" t="s">
        <v>2652</v>
      </c>
      <c r="B1" t="s">
        <v>2653</v>
      </c>
      <c r="C1" t="s">
        <v>2654</v>
      </c>
    </row>
    <row r="2" spans="1:3">
      <c r="A2" s="33">
        <f>+B2*C2</f>
        <v>45000</v>
      </c>
      <c r="B2" s="32">
        <v>1.4999999999999999E-2</v>
      </c>
      <c r="C2" s="33">
        <v>3000000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63b7c2c-def2-48d7-bfd8-b111cabd7800">
      <Terms xmlns="http://schemas.microsoft.com/office/infopath/2007/PartnerControls"/>
    </lcf76f155ced4ddcb4097134ff3c332f>
    <TaxCatchAll xmlns="df101ab9-dd37-4742-912c-cf82c04964db" xsi:nil="true"/>
    <SharedWithUsers xmlns="df101ab9-dd37-4742-912c-cf82c04964db">
      <UserInfo>
        <DisplayName>Kyle Amundson</DisplayName>
        <AccountId>153</AccountId>
        <AccountType/>
      </UserInfo>
      <UserInfo>
        <DisplayName>!CCC ALL Team</DisplayName>
        <AccountId>417</AccountId>
        <AccountType/>
      </UserInfo>
      <UserInfo>
        <DisplayName>Mary Good</DisplayName>
        <AccountId>68</AccountId>
        <AccountType/>
      </UserInfo>
      <UserInfo>
        <DisplayName>Brandi Meyer</DisplayName>
        <AccountId>85</AccountId>
        <AccountType/>
      </UserInfo>
      <UserInfo>
        <DisplayName>Lucia Vento</DisplayName>
        <AccountId>120</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0511166970E444FB311307004F2582B" ma:contentTypeVersion="14" ma:contentTypeDescription="Create a new document." ma:contentTypeScope="" ma:versionID="a0ccca1c19889a84c671898cfbb6103c">
  <xsd:schema xmlns:xsd="http://www.w3.org/2001/XMLSchema" xmlns:xs="http://www.w3.org/2001/XMLSchema" xmlns:p="http://schemas.microsoft.com/office/2006/metadata/properties" xmlns:ns2="463b7c2c-def2-48d7-bfd8-b111cabd7800" xmlns:ns3="df101ab9-dd37-4742-912c-cf82c04964db" targetNamespace="http://schemas.microsoft.com/office/2006/metadata/properties" ma:root="true" ma:fieldsID="0ed61177a347f24fa01e7a54880ce189" ns2:_="" ns3:_="">
    <xsd:import namespace="463b7c2c-def2-48d7-bfd8-b111cabd7800"/>
    <xsd:import namespace="df101ab9-dd37-4742-912c-cf82c04964d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3b7c2c-def2-48d7-bfd8-b111cabd78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84f12e1-d730-4819-a88d-9ae8a085b98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f101ab9-dd37-4742-912c-cf82c04964d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98487ff3-fc88-4ad9-93f1-8d9d772b43cf}" ma:internalName="TaxCatchAll" ma:showField="CatchAllData" ma:web="df101ab9-dd37-4742-912c-cf82c0496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630815E-5CA3-462A-8129-2D7B0DD812BA}"/>
</file>

<file path=customXml/itemProps2.xml><?xml version="1.0" encoding="utf-8"?>
<ds:datastoreItem xmlns:ds="http://schemas.openxmlformats.org/officeDocument/2006/customXml" ds:itemID="{62EFEBEF-9C06-444C-ADD8-ED6046C34B0E}"/>
</file>

<file path=customXml/itemProps3.xml><?xml version="1.0" encoding="utf-8"?>
<ds:datastoreItem xmlns:ds="http://schemas.openxmlformats.org/officeDocument/2006/customXml" ds:itemID="{76D070EA-258F-4D7D-B4AD-C983C19EFCB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2023-11-07T17:38:56Z</dcterms:created>
  <dcterms:modified xsi:type="dcterms:W3CDTF">2026-08-17T14:16:33Z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0x01010070511166970E444FB311307004F2582B</vt:lpwstr>
  </property>
  <property fmtid="{D5CDD505-2E9C-101B-9397-08002B2CF9AE}" pid="3" name="MediaServiceImageTags">
    <vt:lpwstr/>
  </property>
</Properties>
</file>